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4.20.26" state="visible" r:id="rId4"/>
    <sheet sheetId="2" name="Tuesday 4.21.26" state="visible" r:id="rId5"/>
    <sheet sheetId="3" name="Wednesday 4.22.26" state="visible" r:id="rId6"/>
    <sheet sheetId="4" name="Thursday 4.23.26" state="visible" r:id="rId7"/>
    <sheet sheetId="5" name="Friday 4.24.26" state="visible" r:id="rId8"/>
  </sheets>
  <calcPr calcId="171027"/>
</workbook>
</file>

<file path=xl/sharedStrings.xml><?xml version="1.0" encoding="utf-8"?>
<sst xmlns="http://schemas.openxmlformats.org/spreadsheetml/2006/main" count="776" uniqueCount="158">
  <si>
    <t xml:space="preserve">Email daily to:  Rav Sandhu, Sherree Martin,  Ron Scott, Adrian Silva, Yvonne Rodriguez, Kofi Oduro, Melissa Gardynik; Scott Jones
Email report daily at 5 pm.</t>
  </si>
  <si>
    <t>EAP Daily Update - Monday 4.20.26 -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</si>
  <si>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</si>
  <si>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</si>
  <si>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</si>
  <si>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</si>
  <si>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</si>
  <si>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</si>
  <si>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</si>
  <si>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</si>
  <si>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- 24,  2nd - 12
DL PT = 2                                                                                                                                                                                                                                                            IDL PT = 1
IDL = 22
Planned Absenteeism:
DL:  1st shift: Nate Fawley, Kim Kreitner
IDL:  1st shift:  Jeff Rose
DL: 2nd Shift:  
IDL: 2nd Shift:  
Unplanned Absenteeism (call off/leave early):
DL 1st shift - Chelsea Kreitner
IDL 1st Shift - Tom Pulley
DL 2nd Shift - 
IDL 2nd Shift:  
Other:  DL Aaron Butts (medical 3-6 months) Donna Tidwell (TBD), IDL Michael Peterson (indefinite medical),</t>
  </si>
  <si>
    <t>Current Year Program EOP</t>
  </si>
  <si>
    <t>Guelph RDX - April 2026</t>
  </si>
  <si>
    <t>Michelle</t>
  </si>
  <si>
    <t>Prem. Freight / Customer Notes</t>
  </si>
  <si>
    <t>No premium freight</t>
  </si>
  <si>
    <t>On Time Delivery</t>
  </si>
  <si>
    <t>R</t>
  </si>
  <si>
    <t xml:space="preserve">Voestalpine: 
151 inner: Next in PA120
476 outer: Next in PA120.
Toyo: 
T5U2BF328/332C: Short due to lack of steel from Samuel. TBD.</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</si>
  <si>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</si>
  <si>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</si>
  <si>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</si>
  <si>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</si>
  <si>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</si>
  <si>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</si>
  <si>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4/27</t>
  </si>
  <si>
    <t>Adient - Lakewood</t>
  </si>
  <si>
    <t>Inventory coverage until 4/23</t>
  </si>
  <si>
    <t>Inventory coverage until 5/12</t>
  </si>
  <si>
    <t>GM - BWLGRN</t>
  </si>
  <si>
    <t>C1UL</t>
  </si>
  <si>
    <t>Y1XX</t>
  </si>
  <si>
    <t>All future requirements are covered.</t>
  </si>
  <si>
    <t>GM-Factory Zero</t>
  </si>
  <si>
    <t>BT1TL</t>
  </si>
  <si>
    <t>Inventory coverage until 5/10</t>
  </si>
  <si>
    <t>GM-LGR</t>
  </si>
  <si>
    <t>A1SL</t>
  </si>
  <si>
    <t>A2SL</t>
  </si>
  <si>
    <t xml:space="preserve">Inventory coverage until 4/23							</t>
  </si>
  <si>
    <t>Alpha</t>
  </si>
  <si>
    <t>GM-SLP</t>
  </si>
  <si>
    <t>D2UC</t>
  </si>
  <si>
    <t xml:space="preserve">Inventory coverage until 5/4							</t>
  </si>
  <si>
    <t>GM-Springfield</t>
  </si>
  <si>
    <t>GMT610</t>
  </si>
  <si>
    <t xml:space="preserve">Inventory coverage until 6/1							</t>
  </si>
  <si>
    <t>GM-Wentzville</t>
  </si>
  <si>
    <t xml:space="preserve">Inventory coverage until 4/30								</t>
  </si>
  <si>
    <t>Guelph</t>
  </si>
  <si>
    <t>RDX</t>
  </si>
  <si>
    <t>Parts removed from release.</t>
  </si>
  <si>
    <t>GAP</t>
  </si>
  <si>
    <t>WS</t>
  </si>
  <si>
    <t>Y</t>
  </si>
  <si>
    <t>OP M (HBPO)</t>
  </si>
  <si>
    <t>RU</t>
  </si>
  <si>
    <t>Inventory coverage until 4/22 (20007/8 going in PA119)</t>
  </si>
  <si>
    <t>Metalsa</t>
  </si>
  <si>
    <t>UX71</t>
  </si>
  <si>
    <t xml:space="preserve">Inventory coverage until 4/28							</t>
  </si>
  <si>
    <t>SLP</t>
  </si>
  <si>
    <t>KM EJ</t>
  </si>
  <si>
    <t>Inventory coverage until 5/13</t>
  </si>
  <si>
    <t>Stellantis</t>
  </si>
  <si>
    <t>LB</t>
  </si>
  <si>
    <t>Inventory coverage until 5/8</t>
  </si>
  <si>
    <t>Toyo-Imlay City</t>
  </si>
  <si>
    <t>500B</t>
  </si>
  <si>
    <t>Inventory coverage until 5/1</t>
  </si>
  <si>
    <t>Michele</t>
  </si>
  <si>
    <t>SERVICE</t>
  </si>
  <si>
    <t xml:space="preserve">24580773, 84027303 and 83133834 complete for this weeks CCA truck. 
~23429897/23429898 GM Argentina order, waiting on payment to ship.</t>
  </si>
  <si>
    <t>Jeff Potter</t>
  </si>
  <si>
    <t>Supplier Issues</t>
  </si>
  <si>
    <t>No issues</t>
  </si>
  <si>
    <t>John W</t>
  </si>
  <si>
    <t>Labor / Overtime</t>
  </si>
  <si>
    <t>PA119 and PA120 on 10 hours - first shift only.</t>
  </si>
  <si>
    <t>John W.</t>
  </si>
  <si>
    <t xml:space="preserve">Daily Efficiency
85%&gt; = Green
69-84% = Yellow
69% &lt; = Red</t>
  </si>
  <si>
    <t>Work Center Group</t>
  </si>
  <si>
    <t>%</t>
  </si>
  <si>
    <t>Notes</t>
  </si>
  <si>
    <t>Downtime Analysis</t>
  </si>
  <si>
    <t>TTL Hours</t>
  </si>
  <si>
    <t>Reason Percentage</t>
  </si>
  <si>
    <t>Daily DT</t>
  </si>
  <si>
    <t>WC40 fault, PA119 fault, PA120 fault.</t>
  </si>
  <si>
    <t>PA120, PA112, PA111, PA110</t>
  </si>
  <si>
    <t>1st shift 4/20: set 3888462/3948318, set 724151H10B, in setup on PA119 C20007/8</t>
  </si>
  <si>
    <t>Operations Update - Critical Issues</t>
  </si>
  <si>
    <t xml:space="preserve">1st shift Sat 4/18:
PA120 - lube faults, scrap jam OP30, bent scrap chute, part stuck in the upper (2.5hrs
PA119 - down for bent bolts, several faults, hole burr x2, sensor staying on (3.75hrs)
1st shift 4/20:
WC40 - robot fault, bracket location, ran one side (3hrs)
PS213 - broken locator pin (1.25hrs)
PA120 - broken punch, gripper adjustment, missing gripper pad, lift "C" motor fault, down lifter (1.86hrs)
PA119 - hydra guard fault (1.05hrs)
PA112 - feeler fail, emergency stop circuit open (1.95hrs)
PA111 - feeler fail (.21hrs)
PA110 - feeler fail x2 (.62hrs)</t>
  </si>
  <si>
    <t>MFG Mishit Reports</t>
  </si>
  <si>
    <t>No mishits</t>
  </si>
  <si>
    <t>Housekeeping</t>
  </si>
  <si>
    <t xml:space="preserve">cleaned bathrooms
cleaned lunch area
dumped trash
cleaned floors</t>
  </si>
  <si>
    <t>Change Overs</t>
  </si>
  <si>
    <t>Scott</t>
  </si>
  <si>
    <t>TOOLING</t>
  </si>
  <si>
    <t xml:space="preserve">4/20 1ST SHIFT:3696734: 40% - BROKE TRIM PUNCHES. 3.8 HOURS
C30700/800: 50% - TRIM MISMATCH. .5 HOURS
C20007/8-AC: 100% - CUT SENSOR WIRES. 3.23 HOURS. JAMES JOYCE MOVED DIE OVER SATURDAY AND DIE SLID ON FORKS. CAUSING WIRES TO BE CUT.
PRESS CALLS:
PA120: 724150H11B - BROKE PUNCH. 1.42 HOURS. MERLIN REPLACED PUNCH.
PA112: 3864283 - FEELER FAIL. 1.63 HOURS. GREG ADJUSTEED RESTRIKE INSERTS
PA110: 3584144 - FEELER FAIL. .61 HOURS LAST COUPLE WRAPS OF COIL. I ADJUSTED RAM
PS213: 20002-20 - BROKEN NUT LOCATOR PIN. 1.7 HOURS. GREG WELDED AND REGROUND FOOT. NEW PINS ORDERED TODAY.
SCHEDULED/UNSCHEDULED:
GREG WEICK: 7.03/3.33 = 10.38 HOURS
MERLIN TACKETT: .5/1.42 = 1.92 HOURS (WENT HOME SICK)
JEFF ROSE: VAC DAY
TOOLING DOWNTIME: 4.75 HOURS
WORKCENTER LOGS: 5.93 HOURS</t>
  </si>
  <si>
    <t>Diego</t>
  </si>
  <si>
    <t>Maintenance</t>
  </si>
  <si>
    <t xml:space="preserve">PA 119: Hydra Guard Fault: Adjusted preload pressure up higher. No further issues. Short Feed Issue: Pilot Regulator leaking. Replaced During Change over. 
PA 112: Changed Lube Filter, and repaired Broken lube line in crown. 
PA 119: Hard wired Gripper sensors on transfer so next job can run.</t>
  </si>
  <si>
    <t>Yvonne</t>
  </si>
  <si>
    <t>Quality Concerns</t>
  </si>
  <si>
    <t xml:space="preserve">PA120 | 724151H12C | No new issues
PA119 | 050372-C03 | No new issues
PA118 | 723305S00B | No new issues
PA117 |  | No new issues
PA116 |  | No new issues
PA115 |  | No new issues
PA112 | 3693536 | Off Location Hole
PA111 |  | No new issues
PA110 | T6H3CF148A | No new issues
PA50 |  | No new issues
SSL | 20002-10 | No new issues
Welding |  | No new issues
Customer |  | Voestalpine has allowed us to ship B-pillars without stamp rework
Supplier |  | No new issues
Internal |  | No new issues
PA4 | 3696734 | No new issues</t>
  </si>
  <si>
    <t>EAP Daily Update - Tuesday 4.21.26 -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</si>
  <si>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- 26,  2nd - 12
DL PT = 2                                                                                                                                                                                                                                                            IDL PT = 1
IDL = 23
Planned Absenteeism:
DL:  1st shift: Nate Fawley
IDL:  1st shift:  
DL: 2nd Shift:  
IDL: 2nd Shift: Ken Jackson 
Unplanned Absenteeism (call off/leave early):
DL 1st shift - 
IDL 1st Shift - 
DL 2nd Shift - 
IDL 2nd Shift:  
Other:  DL Aaron Butts (medical 3-6 months) Donna Tidwell (TBD), IDL Michael Peterson (indefinite medical)</t>
  </si>
  <si>
    <t xml:space="preserve">Voestalpine: 
476 outer: Next in PA120.
151 outer: Job 3 in PA120. 
813/814: Next in PA119, then PW27 (short 350pcs this week due to small increase)
Toyo: 
T5U2BF328/332C: Short due to lack of steel from Samuel. TBD.</t>
  </si>
  <si>
    <t>Inventory coverage until 4/30</t>
  </si>
  <si>
    <t xml:space="preserve">Inventory coverage until 4/24. 01611/01612 next in PA118. </t>
  </si>
  <si>
    <t>PA119 relay and Coiltech encoder adjustments. PA110 fault. PW38 fault. Sandblast adj. PS213 broken wire.</t>
  </si>
  <si>
    <t>PA115 feeler</t>
  </si>
  <si>
    <t xml:space="preserve">1st shift 4/21:
PA112 - set C40521 (2.78hrs)
PA110 - set 20762481/2 (1.78hrs)
PA115 - set 3606426 (1.12hrs)
PA117 - set 15021211 (.4hrs)
PA50 - set 25753607 (.48hrs)</t>
  </si>
  <si>
    <t xml:space="preserve">1st shift 4/21:
WC39 - set 17510 (.25hrs)</t>
  </si>
  <si>
    <t xml:space="preserve">2nd shift 4/20:
PA120 - programmed new sensors, counterbalanced pressure, back bolster clamp, lift "C" motor fault x4 (.75hrs)
PA118 - down lifter x3, light stamp, steel buckling (1.83hrs)
PA119 - adjusted grippers, low air pressure, feeder valve not working (6.5hrs)
PA111 - burrs (1hr)
PA115 - pilot not releasing (.36hrs)
1st shift 4/21:
WC40 - ran one side until repaired (1.5hrs)
PS213 - broken wire on nut feeder, working on nut location (.75hrs)
Sandblaster - blowing sand from the top, sprayer adjustment (.5hrs)
PW38 - faulting out (.75hrs)
PA119 - transfer cycle stop x4, feed initiate fault, replaced a broken gripper finger, calibrating encoder signal (5.78hrs)
PA115 - feeler fail (.45hrs)
PA112 - tried to recreate a defect (.72hrs)
PA110 - rotary CAM switch fault (.2hrs)</t>
  </si>
  <si>
    <t xml:space="preserve">cleaned bathrooms
cleaned lunch area
dumped trash
cleaned floors
worked with Geoff at PA119</t>
  </si>
  <si>
    <t xml:space="preserve">4/20 2ND SHIFT:3976391: 100% - BURRS. 2.43 HOURS
C62215/265: 90% - FEELER FAIL. 8.05 HOURS
C48073/64889: 90% - BURRS/FEELER FAIL. 5.81 HOURS
C93624/5: 30% - FPM. 8.28 HOURS
PRESS CALLS:
PA120: 724151H10B - DOWN LIFTER. .33 HOURS
PA111: 3989858 - TRIM BURR. .78 HOURS. JESSE FOUND TRIM INSERT NEEDED SHARPENEING. HAD TO PULL DIE TO GET TO UPPER.
PA118: C30500/600 - DOWN LIFTER PAD. 1.38 HOURS. JASON REPLACED NITROS.
PA119: C20007/8 MISSING SCRAP CHUTE. 1.4 HOURS. JASON HAD TO FABRICATE A NEW ONE. PROBALY FELL OFF SATRUDAY WHEN JAMES WAS BRINGING DIE OVER FROM BAY 8.
SCHEDULED/UNSCHEDULED:
JESSE DENNIS: 10.48/1.44 = 11.92 HOURS (BROUGHT IN EARLY DUE TO CALL IN)
JOHN GREEN: 8.28/0 = 8.28 HOURS
JASON DRESSER: 5.81/2.45 = 8.26 HOURS
TOOLING DOWNTIME: 3.89 HOURS
WORKCENTER LOGS: 1.56 HOURS
4/21 1ST SHIFT:
3696734: 50% - BROKEN TRIM PUNCH. 10.45 HOURS
C30700/800: 60% - TRIM MISMATCH. 10.07 HOURS
C15013/15207: 100% - FOLDOVERS. 4 HOURS
C15013/15207: 30% - TIME OUT STAMPS. 2.8 HOURS
3989858: 100% - TRIM BURR. 3.43 HOURS
PRESS CALLS:
PA115: 3606426 - FEELER FAIL AFTER COIL CHANGE. .17 OURS. JEFF RAISED RAM .007.
PS213: 20002-20 - BAD NUT ANVIL. .37 HOURS. MERLIN SWAPPED OUT OLD WITH NEW.
SCHEDULED/UNSCHEDULED:
GREG WEICK: 10.45/0 = 10.45 HOURS
MERLIN TACKETT: 10.07/.37 = 10.44 HOURS
JEFF ROSE: 10.23/.17 = 10.3 HOURS
TOOLING DOWNTIME: .54 HOURS
WORKCENTER LOGS: .5 HOURS</t>
  </si>
  <si>
    <t xml:space="preserve">PA 119: Feed initiate signal dropped out. Found bad relay on Link System PLS # 8 Swapped it with another contact and press ran. Coiltech trying to recalibrate the transfer encoder. ( Experiencing to much noise and vibration from the press). 
PA 112: Top Stop issue. Operator hit top stop but it did not work, he hit it again and it stopped. Need to investigate further. 
PS 213: Nut Feeder not working: Replaced bad wire on air valve. 
Sandblaster: Not clean parts good. Made adjustments.</t>
  </si>
  <si>
    <t xml:space="preserve">PA120 | 724151H10B | No new issues
PA119 | C20007/8-AC | No new issues
PA118 | 723305S00B | No new issues
PA117 |  | No new issues
PA116 |  | No new issues
PA115 |  | No new issues
PA112 | C40521 | Unable to recreate past defect. Ram needs to be indicated
PA111 |  | No new issues
PA110 |  | No new issues
PA50 |  | No new issues
SSL | 20002-10 | No new issues
Welding |  | No new issues
Customer |  | Ford has rejected engineering trials parts for being out of tolerance. Meeting tomorrow at 10AM. 
Supplier |  | No new issues
Internal |  | No new issues
PA4 | 3696734 | No new issues</t>
  </si>
  <si>
    <t>EAP Daily Update - Wednesday 4.22.26 -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</si>
  <si>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- 25,  2nd - 12
DL PT = 2                                                                                                                                                                                                                                                            IDL PT = 1
IDL = 22
Planned Absenteeism:
DL:  1st shift: Nate Fawley
IDL:  1st shift:  
DL: 2nd Shift:  
IDL: 2nd Shift:  
Unplanned Absenteeism (call off/leave early):
DL 1st shift - James Pulley
IDL 1st Shift - 
DL 2nd Shift - 
IDL 2nd Shift:  
Other:  DL Aaron Butts (medical 3-6 months) Donna Tidwell (TBD), IDL Michael Peterson (indefinite medical)</t>
  </si>
  <si>
    <t xml:space="preserve">Voestalpine: 
476 outer: Running in PA120.
151 outer: Job 3 in PA120. 
813/814: In PA119, then PW27 (short 350pcs this week)
Toyo: 
T5U2BF328/332C: Short due to lack of steel from Samuel. TBD.</t>
  </si>
  <si>
    <t>Inventory coverage until 5/24</t>
  </si>
  <si>
    <t xml:space="preserve">24580773, 84027303 and 83133834 shipped in full. 
~23429897/23429898 GM Argentina order, waiting on payment to ship.</t>
  </si>
  <si>
    <t>PA120 oil sprayers and broke bolt on shuttle.</t>
  </si>
  <si>
    <t xml:space="preserve">PA120
PA111
PA110
PA4</t>
  </si>
  <si>
    <t xml:space="preserve">2nd shift 4/21:
PA118 - set 85001611/12 (1.36hrs)
PA115 - set 13461774 (.5hrs)
1st shift 4/22:
PA120 - set 726476H06C (2.41hrs)
PA118 - set 062083 (1.6hrs)
PA116 - set 3864310 (1.4hrs)</t>
  </si>
  <si>
    <t xml:space="preserve">2nd shift 4/20:
WC39 - head #3 not welding (gun height fault x2) (.63hrs)
PA119 - Coil Tech programming for job #2, feeder overfeeding, press stopped on bottom twice (1.78hrs)
PA120 - lube fault x3, scrap jam OP40, scrap jam OP30 x3 (.25hrs)
PS214 - sensor not reading nut head #4 (1.48hrs)
PA118 - 2 down lifters, finger adjustments (3.14hrs)
1st shift 4/21:
PS214 - replaced sensor, nut feeder not feeding (1.25hrs)
PS213 - adjusted clinch nut, nut feeder jam (1.25hrs)
PA120 - SPC's not in spec, OP40 tab falling off, oil sprayers not working correctly, drain hole not pinning, broken bolt on rear shuttle (3.68hrs)
PA119 - hydra guard fault (.3hrs)
PA115 - feeder short fed causing a mishit (.52hrs)
PA111 - feeler fail x3 (1.13hrs)
PA110 - feeler fail (.23hrs)
PA4 - feeler fail (.72hrs)</t>
  </si>
  <si>
    <t xml:space="preserve">1st shift 4/22:
PA115 - feeder short fed causing a mishit.</t>
  </si>
  <si>
    <t xml:space="preserve">4/21 2ND SHIFT:C15112/15312: 20% - TRIM BURRS/HOLE BURRS/TIME OUT STAMPS. 8.88/2.62 HOURS. JESSE TO ADDRESS BURRS/JASON TO TIME OUT STAMPS.
C62215/265: 100% - FEELER FAIL. .8 HOURS
C48073/64889: 100% - BURRS/FEELER FAIL. 3.4 HOURS
C93624/5: 40% - FPM. 8.3 HOURS
PRESS CALLS:
PA118: C01611/01612 - DOWN LIFTER. .52 HOURS
PS214: 20007/8-20 SENSOR ADJUST. 1.64 HOURS. JASON ADJUSTED NUT HEAD SENSOR 4.
SCHEDULED/UNSCHEDULED:
JESSE DENNIS: 9.68/.52 = 10.2 HOURS
JOHN GREEN: 8.3/0 = 8.3 HOURS
JASON DRESSER: 6.52/1.64 = 8.16 HOURS
TOOLING DOWNTIME: 2.16 HOURS
WORKCENTER LOGS: 2 HOURS
4/22 1ST SHIFT:
3696734: 70% - BROKEN TRIM PUNCH. 6.27 HOURS
C30700/800: 100% - TRIM MISMATCH. 3.91 HOURS
C15013/15207: 80% - TIME OUT STAMPS. 9.6HOURS
85640501: 30% - FEELER FAIL/SPLITS. .71 HOURS
PRESS CALLS:
PA111: 3989858 - FEELER FAIL. 1.31 HOURS. GREG ADJUSTED CAM RESTRIKE
PA4: 3698611 - FEELER FAIL. .75 HOURS, GREG ADJUSTED READY BENDER. 
PS214: 20007/8-20 - BAD SENSOR. GREG SWAPPED OUT NUT PRESENCE SENSOR. 2.17 HOURS
PS213: 20002-20 - BAD NUT. .38 HOURS. MERLIN ADJUSTED NUT LOCATOR PIN.
A881: 48105/64943 - BAD SENSOR. MERLIN ADJUSTED SENSOR.
PA120: C47606 - BAD SPC. .65 HOURS. MERLIN SHIMMED FORM INSERT.
PA120: C47606 - SPLIT. .47 HOURS. JEFF POLISHED FORM STEEL. JEFF WAS OUT THERE FOR A COUPLE HOURS. BUT OTHER THAN THE .47 HOURS, HE WAS HELPING FARMER GET PITCH RIGHT, BRAD GET SPRAYER CORRECTED. 
SCHEDULED/UNSCHEDULED:
GREG WEICK: 6.27/3.55 = 9.82 HOURS
MERLIN TACKETT: 4.62/2.71 = 7.33 HOURS (LEFT AT 11:30AM DR APPT)
JEFF ROSE: 9.6/.47 = 10.07 HOURS
TOOLING DOWNTIME: 6.73 HOURS
WORKCENTER LOGS: 8 HOURS</t>
  </si>
  <si>
    <t xml:space="preserve">PA 119: Had a double feed issue this morning after a job change over. It took a while to set the press up, so I was not able to see the issue in person. I connected a few monitoring items to the feed initiate relay and the feed complete relay to see if I can determine if the feed initiate is being sent more than once per stroke, or if the transfer is sending a signal more than once, or if the feed complete signal is not being registered and the feeder cycles again. Was not able to do much troubleshooting due to set up timing and training for the transfer. 
PA 120: Wire low on transfer: Zip ties wires.  
PS 110:  Wont cycle: Nitro Cylinders were stopping press from rolling past bottom. Adjusted the ram up and got ram to top of the stroke, adjusted ram back down and press ran.  
PA 119: Transfer Training.</t>
  </si>
  <si>
    <t xml:space="preserve">PA120 | 726476H06C | No new issues
PA119 | C81308 | No new issues
PA118 | 062083-C03 | No new issues
PA117 |  | No new issues
PA116 |  | No new issues
PA115 |  | No new issues
PA112 | C40521 | No new issues
PA111 |  | No new issues
PA110 |  | No new issues
PA50 |  | No new issues
SSL | 20002-10 | No new issues
Welding |  | No new issues
Customer |  | No new issues
Supplier |  | No new issues
Internal |  | No new issues
PA4 | 3696734 | No new issues</t>
  </si>
  <si>
    <t>EAP Daily Update - Thursday 4.23.26 -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</si>
  <si>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- 25,  2nd - 12
DL PT = 2                                                                                                                                                                                                                                                            IDL PT = 1
IDL = 24
Planned Absenteeism:
DL:  1st shift: Nate Fawley
IDL:  1st shift:  
DL: 2nd Shift:  
IDL: 2nd Shift:  
Unplanned Absenteeism (call off/leave early):
DL 1st shift - Tracey Stecker
IDL 1st Shift - 
DL 2nd Shift - 
IDL 2nd Shift:  
Other:  DL Aaron Butts (medical 3-6 months) Donna Tidwell (TBD), IDL Michael Peterson (indefinite medical)</t>
  </si>
  <si>
    <t xml:space="preserve">Voestalpine: 
477 outer: Running in PA120.
151 outer: Job 3 in PA120. 
813/814: Running in PA119 and PW27. Shipping this week's release balance on Friday morning. 
Toyo: 
T5U2BF328/332C: Short due to lack of steel from Samuel. Steel arrived today, will go into PA120 tomorrow.</t>
  </si>
  <si>
    <t>Inventory coverage until 4/29 (5300920/5301824 job 3 in PA118)</t>
  </si>
  <si>
    <t>Inventory coverage until 4/27 (96828 going into PA4 tomorrow for Adient visit)</t>
  </si>
  <si>
    <t>Inventory coverage until 5/4</t>
  </si>
  <si>
    <t xml:space="preserve">PA119 feed issues.
PA120 fault.</t>
  </si>
  <si>
    <t xml:space="preserve">PA120
PA111</t>
  </si>
  <si>
    <t xml:space="preserve">1st shift 4/23:
PA110 - set T6H2CF233/283B (1hr)
PA120 - set 726477H06C (1.42hr)</t>
  </si>
  <si>
    <t xml:space="preserve">A881 change over.
Startup</t>
  </si>
  <si>
    <t xml:space="preserve">2nd shift 4/22:
PA120 - broken shuttle bolt, tab split off OP40 x24, scrap jam OP30 x4, intensifiers stopped working (2.35hrs)
PS214 - head #3 sensor not reading the nut (.5hrs)
PA115 - pilot release not opening (.16hrs)
PA119 - Coil Tech setting up job C81308/814, re-centered die on bolster x2, finger adjustments, short fed causing tabs to et cut off, over fed x3 (6.5hrs)
PA118 - steel not feeding, alignment needs adjusted (.28hrs)
1st shift 4/21:
PA120 - hole off location x4, splits, finger adjustments, ORMAC fault (3.75hrs)
PA119 - feeder overfeeding (.5hrs)
PA4 - scrap jam (.25hrs)
PA111 - feeler fail (1.5hrs)</t>
  </si>
  <si>
    <t xml:space="preserve">4/22 2ND SHIFT:C15112/15312: 80% - BURRS. BO IS ADDRESSING BURRS
C15112/15312: 60% - RETIME STAMPS. JASON IS ADDRESSING THE STAMPS
C93624/5: 40% - FPM
PRESS CALLS:
PA120: C47606 - DRIN HOLE NOT PINNING. .35 HOURS
PS214: 20007/8-20 SENSOR ADJUST. .38 HOURS. JASON ADJUSTED NUT HEAD SENSOR.
SCHEDULED/UNSCHEDULED:
JESSE DENNIS: 9.95/.35 = 10.3 HOURS
JOHN GREEN: 8.15/0 = 8.15 HOURS
JASON DRESSER: 7.83/.38 = 8.21 HOURS
TOOLING DOWNTIME: .73 HOURS
WORKCENTER LOGS: 1.31 HOURS
4/23 1ST SHIFT:
3696734: 100% - BROKEN TRIM PUNCH. 7.74 HOURS
85640501: 40% - SPLITS/FEELER. 3.27 HOURS
C00920/01824: 10% - TRIM BURRS. 3.15 HOURS
C15013/15207: 90% - TIME OUT STAMPS. 9.5 HOURS
PRESS CALLS:
PA111: 3989858 - FEELER FAIL. 1.7 HOURS. GREG FOUND STAMPS WERE SHIMMED TOO MUCH CAUSING PART TO BEND UPWARDS. REMOVED SHIMS.
PA4: 3698611 - SCRAP JAM IN CAM TRIM. .28 HOURS. GRG CLEARED SCRAP.
PA120: C47606 - SPLIT/HOLE LOCATION. 3.98 HOURS. MERLIN WITH JEFF'S HELP ADJUSTED STANDOFF AND TRAP GAGES TO GET SPLITS TO GO AWAY. AND HOLES TO PIN. **SPLITS WENT AWAY RIGHT AFTER COIL CHANGE**. 
SCHEDULED/UNSCHEDULED:
GREG WEICK: 8.3/1.98 = 10.28 HOURS
MERLIN TACKETT: 6.42/3.98 = 10.4 HOURS
JEFF ROSE: 9.5/0 = 9.5 HOURS (6AM-3:30PM PICK UP GRANDDAUGHTER FROM SCHOOL)
TOOLING DOWNTIME: 5.96 HOURS
WORKCENTER LOGS: 4.96 HOURS</t>
  </si>
  <si>
    <t xml:space="preserve">PA 119: Double feed issues again this morning. Starting troubleshooting and found that the feed initiate wire was grounding out. Found the exposed wire and butt spliced it, but it still had issues. After troubleshooting further found a few mislabeled wires, double wires going to the feeder and back to the press cabinet. Ran a temporary wire from the press to the feeder to run. Will order a cable to fix the wiring issues. If I can get it here by Saturday we will run it the cable Saturday. 
PA 120: Sprayer not spraying wide enough. Put in different tips but not much better. Need to order tips with wider spray angles.  
PA 119: Transfer Training.</t>
  </si>
  <si>
    <t xml:space="preserve">PA120 | 726476H06C | No new issues
PA119 | C81308 | No new issues
PA118 | 062083-C03 | No new issues
PA117 |  | No new issues
PA116 |  | No new issues
PA115 |  | No new issues
PA112 | C40521 | No new issues
PA111 |  | No new issues
PA110 |  | No new issues
PA50 |  | No new issues
SSL | 20002-10 | No new issues
Welding |  | No new issues
Customer | 3864310 | MIs-formed stamping. 3rd party sort requested. Sorting internal. 
Supplier |  | No new issues
Internal |  | No new issues
PA4 | 3696734 | No new issues</t>
  </si>
  <si>
    <t>EAP Daily Update - Friday 4.24.26 -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</si>
  <si>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- 21,  2nd - 12
DL PT = 2                                                                                                                                                                                                                                                            IDL PT = 1
IDL = 24
Planned Absenteeism:
DL:  1st shift: Nate Fawley, Brenda Burroughs, Kim Kreitner
IDL:  1st shift:  
DL: 2nd Shift:  
IDL: 2nd Shift:  
Unplanned Absenteeism (call off/leave early):
DL 1st shift - Sue Bosman, Sophy Sou, Chelsea Kreitner &amp; Lucas McKenzie left at 10am (1/2)     DL - 6%
IDL 1st Shift - 
DL 2nd Shift - 
IDL 2nd Shift:  
Other:  DL Aaron Butts (medical 3-6 months) Donna Tidwell (TBD), IDL Michael Peterson (indefinite medical)</t>
  </si>
  <si>
    <t xml:space="preserve">Voestalpine: 
150/152 outer: Next in PA120. 
Toyo: 
T5U2BF328/332C: Short due to lack of steel from Samuel. Running in PA120.</t>
  </si>
  <si>
    <t xml:space="preserve">PA119 setup - grippers
PA111 lube faults</t>
  </si>
  <si>
    <t xml:space="preserve">PA120
PA118
PA116
PA4</t>
  </si>
  <si>
    <t xml:space="preserve">2nd shift 4/23:
PA120 - set 726477H06C (1hr)
A881 - set 3948073/3864889 (.75hrs)
1st shift 4/24:
PA4 - set 3696828 (1.51hrs)
PA118 - set 723307S00B/308 (.87hrs)
PA116 - set C64889/48073 (.52hrs)
PA115 - set 3864766 (1.1hrs)
PA120 - set T5U2BF328/332C (.93hrs)</t>
  </si>
  <si>
    <t xml:space="preserve">2nd shift 4/23:
PA120 - lift "C" motor fault, transfer fell out of storage, valved press up/down both sides, low air pressure, hydraulic overload x4, right intensifier stopped working, adjusted fingers, lube fault (3.21hrs)
PA118 - scrap stuck in scrap conveyor x2 (.65hrs)
PA119 - Coil Tech overlooking transfer (.5hrs)
1st shift 4/24:
PA120 - OP70 part sticking to lower, hole not pinning, lube fault, C1 replacing a broken gripper knuckle, down lifter in the draw station, scrap jam OP40 (2.24hrs)
PA119 - gripper arm fell apart while in auto, main motor shut off while in auto, down for Coil Tech (.58hrs)
PA118 - burr on the cut-off, alignment/bad cut-off, notch on outer flange (4.05hrs)
PA116 - sliver on the front side part (.87hrs)
PA111 - lube fault x4 (.15hrs)
PA4 - spike burr x3, feeler fail (4.72hrs)</t>
  </si>
  <si>
    <t xml:space="preserve">4/23 2ND SHIFT:C15112/15312: 100% - BURRS. BO IS ADDRESSING BURRS. 4.24 HOURS
C15112/15312: 70% - RETIME STAMPS. JASON IS ADDRESSING THE STAMPS. 7.8 HOURS
C93624/5: 60% - FPM. 8.32 HOURS
PRESS CALLS:
A881: 48073/64889-10 CHANGE OVER. .52 HOURS
SCHEDULED/UNSCHEDULED:
JESSE DENNIS: 10.22/0 = 10.22 HOURS
JOHN GREEN: 8.32/0 = 8.32 HOURS
JASON DRESSER: 8.32/0 = 8.32 HOURS
TOOLING DOWNTIME: 0 HOURS
WORKCENTER LOGS: 0 HOURS
4/24 1ST SHIFT:
85640501: 40% - SPLITS/FEELER. 8.09 HOURS
C00920/01824: 10% - TRIM BURRS. 1.0 HOURS
C15013/15207: 100% - TIME OUT STAMPS. 4.3 HOURS
50372-B01: 30% - VERIFY IN-DIE SENSORS. 6.45 HOURS
PRESS CALLS:
PA4: 3696828 - BURR/FEELER FAIL. 5.33 HOURS. GREG SHARPENED TRIMS AND ADJUSTED READY BENDER.
PA118: C30700/800 - CUTOFF MISMATCH. 2.75 HOURS. MERLIN REPAIRED A FEW HARD MARKS AND HELPED WITH STEEL ALIGNMENT AND SQUARING DIE. 
PA120: C47706 - DOWN LIFTER/PART STICKING. 1.9 HOURS. JEFF REPLACED NITRO/ADJUSTED TRAP GAGE.
PA116: C48073/64889 - TRIM BURR. .85 HOURS. MERLIN SHARPENED LOWER TRIM CUTOFF.
SCHEDULED/UNSCHEDULED:
GREG WEICK: 6.45/3.87 = 10.32 HOURS
MERLIN TACKETT: 3.87/6.53 = 10.4 HOURS
JEFF ROSE: 9.52/.43 = 9.95 HOURS
TOOLING DOWNTIME: 10.83 HOURS
WORKCENTER LOGS: 11.43 HOURS</t>
  </si>
  <si>
    <t>Shipping: Shrink wrap machine not working properly.  Was able to run a test diagnostic, and we get a Error code E3 the manual says that the E3 error is a home proximity sensor error but doesn't detail where the sensor is located or how to inspect it. Need to contact tech support.</t>
  </si>
  <si>
    <t xml:space="preserve">PA120 | T5U2BF328C | No new issues
PA119 | 724798S00D | No new issues
PA118 | 723308S00B | No new issues
PA117 |  | No new issues
PA116 |  | No new issues
PA115 |  | No new issues
PA112 | C40521 | No new issues
PA111 |  | No new issues
PA110 | T6H2CF233B | No new issues
PA50 |  | No new issues
SSL | 20002-10 | No new issues
Welding |  | No new issues
Customer | 3864310 | MIs-formed stamping. 3rd party sort requested. Sorting internal. 
Supplier |  | No new issues
Internal |  | No new issues
PA4 | 3696734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</si>
</sst>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6">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4" borderId="8" xfId="0" applyFont="1" applyFill="1" applyBorder="1" applyAlignment="1">
      <alignment horizontal="center" vertical="center" wrapText="1" inden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5"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3"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xf numFmtId="0" fontId="14" fillId="3" borderId="1"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27</v>
      </c>
      <c r="I40" s="33"/>
      <c r="J40" s="33"/>
      <c r="K40" s="33"/>
      <c r="L40" s="33"/>
      <c r="M40" s="33"/>
      <c r="N40" s="33"/>
      <c r="O40" s="33"/>
      <c r="P40" s="33"/>
    </row>
    <row r="41" ht="22.7" customHeight="1" spans="1:16" x14ac:dyDescent="0.25">
      <c r="A41" s="18"/>
      <c r="B41" s="7"/>
      <c r="C41" s="7"/>
      <c r="D41" s="28" t="s">
        <v>8</v>
      </c>
      <c r="E41" s="31"/>
      <c r="F41" s="32" t="s">
        <v>30</v>
      </c>
      <c r="G41" s="26">
        <v>15</v>
      </c>
      <c r="H41" s="27" t="s">
        <v>25</v>
      </c>
      <c r="I41" s="27"/>
      <c r="J41" s="27"/>
      <c r="K41" s="27"/>
      <c r="L41" s="27"/>
      <c r="M41" s="27"/>
      <c r="N41" s="27"/>
      <c r="O41" s="27"/>
      <c r="P41" s="27"/>
    </row>
    <row r="42" ht="22.7" customHeight="1" spans="1:16" x14ac:dyDescent="0.25">
      <c r="A42" s="18"/>
      <c r="B42" s="7"/>
      <c r="C42" s="7"/>
      <c r="D42" s="28" t="s">
        <v>8</v>
      </c>
      <c r="E42" s="31"/>
      <c r="F42" s="32" t="s">
        <v>31</v>
      </c>
      <c r="G42" s="26">
        <v>1</v>
      </c>
      <c r="H42" s="34" t="s">
        <v>32</v>
      </c>
      <c r="I42" s="34"/>
      <c r="J42" s="34"/>
      <c r="K42" s="34"/>
      <c r="L42" s="34"/>
      <c r="M42" s="34"/>
      <c r="N42" s="34"/>
      <c r="O42" s="34"/>
      <c r="P42" s="34"/>
    </row>
    <row r="43" ht="22.7" customHeight="1" spans="1:16" x14ac:dyDescent="0.25">
      <c r="A43" s="18"/>
      <c r="B43" s="7"/>
      <c r="C43" s="7"/>
      <c r="D43" s="28" t="s">
        <v>8</v>
      </c>
      <c r="E43" s="35" t="s">
        <v>33</v>
      </c>
      <c r="F43" s="25" t="s">
        <v>34</v>
      </c>
      <c r="G43" s="26">
        <v>5</v>
      </c>
      <c r="H43" s="27" t="s">
        <v>35</v>
      </c>
      <c r="I43" s="27"/>
      <c r="J43" s="27"/>
      <c r="K43" s="27"/>
      <c r="L43" s="27"/>
      <c r="M43" s="27"/>
      <c r="N43" s="27"/>
      <c r="O43" s="27"/>
      <c r="P43" s="27"/>
    </row>
    <row r="44" ht="22.7" customHeight="1" spans="1:16" x14ac:dyDescent="0.25">
      <c r="A44" s="18"/>
      <c r="B44" s="7"/>
      <c r="C44" s="7"/>
      <c r="D44" s="28" t="s">
        <v>8</v>
      </c>
      <c r="E44" s="24" t="s">
        <v>36</v>
      </c>
      <c r="F44" s="25" t="s">
        <v>37</v>
      </c>
      <c r="G44" s="25">
        <v>2</v>
      </c>
      <c r="H44" s="27" t="s">
        <v>32</v>
      </c>
      <c r="I44" s="27"/>
      <c r="J44" s="27"/>
      <c r="K44" s="27"/>
      <c r="L44" s="27"/>
      <c r="M44" s="27"/>
      <c r="N44" s="27"/>
      <c r="O44" s="27"/>
      <c r="P44" s="27"/>
    </row>
    <row r="45" ht="22.7" customHeight="1" spans="1:16" x14ac:dyDescent="0.25">
      <c r="A45" s="18"/>
      <c r="B45" s="7"/>
      <c r="C45" s="7"/>
      <c r="D45" s="28" t="s">
        <v>8</v>
      </c>
      <c r="E45" s="24"/>
      <c r="F45" s="25" t="s">
        <v>38</v>
      </c>
      <c r="G45" s="25">
        <v>8</v>
      </c>
      <c r="H45" s="27" t="s">
        <v>39</v>
      </c>
      <c r="I45" s="27"/>
      <c r="J45" s="27"/>
      <c r="K45" s="27"/>
      <c r="L45" s="27"/>
      <c r="M45" s="27"/>
      <c r="N45" s="27"/>
      <c r="O45" s="27"/>
      <c r="P45" s="27"/>
    </row>
    <row r="46" ht="22.7" customHeight="1" spans="1:16" x14ac:dyDescent="0.25">
      <c r="A46" s="18"/>
      <c r="B46" s="7"/>
      <c r="C46" s="7"/>
      <c r="D46" s="28" t="s">
        <v>8</v>
      </c>
      <c r="E46" s="24"/>
      <c r="F46" s="25" t="s">
        <v>40</v>
      </c>
      <c r="G46" s="25">
        <v>2</v>
      </c>
      <c r="H46" s="27" t="s">
        <v>32</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25</v>
      </c>
      <c r="I51" s="27"/>
      <c r="J51" s="27"/>
      <c r="K51" s="27"/>
      <c r="L51" s="27"/>
      <c r="M51" s="27"/>
      <c r="N51" s="27"/>
      <c r="O51" s="27"/>
      <c r="P51" s="27"/>
    </row>
    <row r="52" ht="22.7" customHeight="1" spans="1:16" x14ac:dyDescent="0.25">
      <c r="A52" s="18"/>
      <c r="B52" s="7"/>
      <c r="C52" s="7"/>
      <c r="D52" s="38" t="s">
        <v>54</v>
      </c>
      <c r="E52" s="24" t="s">
        <v>55</v>
      </c>
      <c r="F52" s="25" t="s">
        <v>56</v>
      </c>
      <c r="G52" s="25">
        <v>3</v>
      </c>
      <c r="H52" s="39" t="s">
        <v>57</v>
      </c>
      <c r="I52" s="39"/>
      <c r="J52" s="39"/>
      <c r="K52" s="39"/>
      <c r="L52" s="39"/>
      <c r="M52" s="39"/>
      <c r="N52" s="39"/>
      <c r="O52" s="39"/>
      <c r="P52" s="39"/>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69</v>
      </c>
      <c r="I56" s="27"/>
      <c r="J56" s="27"/>
      <c r="K56" s="27"/>
      <c r="L56" s="27"/>
      <c r="M56" s="27"/>
      <c r="N56" s="27"/>
      <c r="O56" s="27"/>
      <c r="P56" s="27"/>
    </row>
    <row r="57" ht="22.7" customHeight="1" spans="1:16" x14ac:dyDescent="0.25">
      <c r="A57" s="42" t="s">
        <v>70</v>
      </c>
      <c r="B57" s="13" t="s">
        <v>71</v>
      </c>
      <c r="C57" s="13"/>
      <c r="D57" s="43" t="s">
        <v>8</v>
      </c>
      <c r="E57" s="44" t="s">
        <v>72</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73</v>
      </c>
      <c r="B60" s="7" t="s">
        <v>74</v>
      </c>
      <c r="C60" s="7"/>
      <c r="D60" s="47" t="s">
        <v>8</v>
      </c>
      <c r="E60" s="48" t="s">
        <v>75</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76</v>
      </c>
      <c r="B63" s="7" t="s">
        <v>77</v>
      </c>
      <c r="C63" s="7"/>
      <c r="D63" s="50" t="s">
        <v>54</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0.81</v>
      </c>
      <c r="G72" s="61"/>
      <c r="H72" s="61"/>
      <c r="I72" s="61"/>
      <c r="J72" s="61"/>
      <c r="K72" s="61"/>
      <c r="L72" s="61"/>
      <c r="M72" s="61"/>
      <c r="N72" s="61"/>
      <c r="O72" s="61"/>
      <c r="P72" s="61"/>
    </row>
    <row r="73" ht="27.95" customHeight="1" spans="1:16" x14ac:dyDescent="0.25">
      <c r="A73" s="52"/>
      <c r="B73" s="53"/>
      <c r="C73" s="53"/>
      <c r="D73" s="62"/>
      <c r="E73" s="63"/>
      <c r="F73" s="60">
        <v>0.86</v>
      </c>
      <c r="G73" s="64"/>
      <c r="H73" s="64"/>
      <c r="I73" s="64"/>
      <c r="J73" s="64"/>
      <c r="K73" s="64"/>
      <c r="L73" s="64"/>
      <c r="M73" s="64"/>
      <c r="N73" s="64"/>
      <c r="O73" s="64"/>
      <c r="P73" s="64"/>
    </row>
    <row r="74" ht="27.6" customHeight="1" spans="1:16" x14ac:dyDescent="0.25">
      <c r="A74" s="52"/>
      <c r="B74" s="53"/>
      <c r="C74" s="53"/>
      <c r="D74" s="65"/>
      <c r="E74" s="63"/>
      <c r="F74" s="60"/>
      <c r="G74" s="66"/>
      <c r="H74" s="66"/>
      <c r="I74" s="66"/>
      <c r="J74" s="66"/>
      <c r="K74" s="66"/>
      <c r="L74" s="66"/>
      <c r="M74" s="66"/>
      <c r="N74" s="66"/>
      <c r="O74" s="66"/>
      <c r="P74" s="66"/>
    </row>
    <row r="75" ht="27.6" customHeight="1" spans="1:16" x14ac:dyDescent="0.25">
      <c r="A75" s="52"/>
      <c r="B75" s="53"/>
      <c r="C75" s="53"/>
      <c r="D75" s="58"/>
      <c r="E75" s="67"/>
      <c r="F75" s="60"/>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88</v>
      </c>
      <c r="I79" s="82"/>
      <c r="J79" s="82"/>
      <c r="K79" s="82"/>
      <c r="L79" s="82"/>
      <c r="M79" s="82"/>
      <c r="N79" s="82"/>
      <c r="O79" s="82"/>
      <c r="P79" s="82"/>
    </row>
    <row r="80" ht="22.7" customHeight="1" spans="1:16" x14ac:dyDescent="0.25">
      <c r="A80" s="69"/>
      <c r="B80" s="70"/>
      <c r="C80" s="70"/>
      <c r="D80" s="71"/>
      <c r="E80" s="83"/>
      <c r="F80" s="63"/>
      <c r="G80" s="81"/>
      <c r="H80" s="84" t="s">
        <v>89</v>
      </c>
      <c r="I80" s="84"/>
      <c r="J80" s="84"/>
      <c r="K80" s="84"/>
      <c r="L80" s="84"/>
      <c r="M80" s="84"/>
      <c r="N80" s="84"/>
      <c r="O80" s="84"/>
      <c r="P80" s="84"/>
    </row>
    <row r="81" ht="22.7" customHeight="1" spans="1:16" x14ac:dyDescent="0.25">
      <c r="A81" s="69"/>
      <c r="B81" s="70"/>
      <c r="C81" s="70"/>
      <c r="D81" s="71"/>
      <c r="E81" s="85"/>
      <c r="F81" s="80"/>
      <c r="G81" s="81"/>
      <c r="H81" s="84" t="s">
        <v>90</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0" t="s">
        <v>17</v>
      </c>
      <c r="E84" s="91" t="s">
        <v>92</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7" t="s">
        <v>8</v>
      </c>
      <c r="E102" s="48" t="s">
        <v>94</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76</v>
      </c>
      <c r="B105" s="7" t="s">
        <v>95</v>
      </c>
      <c r="C105" s="7"/>
      <c r="D105" s="47" t="s">
        <v>8</v>
      </c>
      <c r="E105" s="93" t="s">
        <v>96</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76</v>
      </c>
      <c r="B108" s="7" t="s">
        <v>97</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98</v>
      </c>
      <c r="B113" s="7" t="s">
        <v>99</v>
      </c>
      <c r="C113" s="7"/>
      <c r="D113" s="50" t="s">
        <v>54</v>
      </c>
      <c r="E113" s="48" t="s">
        <v>100</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47" t="s">
        <v>8</v>
      </c>
      <c r="E121" s="48" t="s">
        <v>103</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106</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110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110</v>
      </c>
      <c r="I40" s="33"/>
      <c r="J40" s="33"/>
      <c r="K40" s="33"/>
      <c r="L40" s="33"/>
      <c r="M40" s="33"/>
      <c r="N40" s="33"/>
      <c r="O40" s="33"/>
      <c r="P40" s="33"/>
    </row>
    <row r="41" ht="22.7" customHeight="1" spans="1:16" x14ac:dyDescent="0.25">
      <c r="A41" s="18"/>
      <c r="B41" s="7"/>
      <c r="C41" s="7"/>
      <c r="D41" s="28" t="s">
        <v>8</v>
      </c>
      <c r="E41" s="31"/>
      <c r="F41" s="32" t="s">
        <v>30</v>
      </c>
      <c r="G41" s="26">
        <v>15</v>
      </c>
      <c r="H41" s="27" t="s">
        <v>25</v>
      </c>
      <c r="I41" s="27"/>
      <c r="J41" s="27"/>
      <c r="K41" s="27"/>
      <c r="L41" s="27"/>
      <c r="M41" s="27"/>
      <c r="N41" s="27"/>
      <c r="O41" s="27"/>
      <c r="P41" s="27"/>
    </row>
    <row r="42" ht="22.7" customHeight="1" spans="1:16" x14ac:dyDescent="0.25">
      <c r="A42" s="18"/>
      <c r="B42" s="7"/>
      <c r="C42" s="7"/>
      <c r="D42" s="28" t="s">
        <v>8</v>
      </c>
      <c r="E42" s="31"/>
      <c r="F42" s="32" t="s">
        <v>31</v>
      </c>
      <c r="G42" s="26">
        <v>1</v>
      </c>
      <c r="H42" s="34" t="s">
        <v>32</v>
      </c>
      <c r="I42" s="34"/>
      <c r="J42" s="34"/>
      <c r="K42" s="34"/>
      <c r="L42" s="34"/>
      <c r="M42" s="34"/>
      <c r="N42" s="34"/>
      <c r="O42" s="34"/>
      <c r="P42" s="34"/>
    </row>
    <row r="43" ht="22.7" customHeight="1" spans="1:16" x14ac:dyDescent="0.25">
      <c r="A43" s="18"/>
      <c r="B43" s="7"/>
      <c r="C43" s="7"/>
      <c r="D43" s="28" t="s">
        <v>8</v>
      </c>
      <c r="E43" s="35" t="s">
        <v>33</v>
      </c>
      <c r="F43" s="25" t="s">
        <v>34</v>
      </c>
      <c r="G43" s="26">
        <v>5</v>
      </c>
      <c r="H43" s="27" t="s">
        <v>35</v>
      </c>
      <c r="I43" s="27"/>
      <c r="J43" s="27"/>
      <c r="K43" s="27"/>
      <c r="L43" s="27"/>
      <c r="M43" s="27"/>
      <c r="N43" s="27"/>
      <c r="O43" s="27"/>
      <c r="P43" s="27"/>
    </row>
    <row r="44" ht="22.7" customHeight="1" spans="1:16" x14ac:dyDescent="0.25">
      <c r="A44" s="18"/>
      <c r="B44" s="7"/>
      <c r="C44" s="7"/>
      <c r="D44" s="28" t="s">
        <v>8</v>
      </c>
      <c r="E44" s="24" t="s">
        <v>36</v>
      </c>
      <c r="F44" s="25" t="s">
        <v>37</v>
      </c>
      <c r="G44" s="25">
        <v>2</v>
      </c>
      <c r="H44" s="27" t="s">
        <v>32</v>
      </c>
      <c r="I44" s="27"/>
      <c r="J44" s="27"/>
      <c r="K44" s="27"/>
      <c r="L44" s="27"/>
      <c r="M44" s="27"/>
      <c r="N44" s="27"/>
      <c r="O44" s="27"/>
      <c r="P44" s="27"/>
    </row>
    <row r="45" ht="22.7" customHeight="1" spans="1:16" x14ac:dyDescent="0.25">
      <c r="A45" s="18"/>
      <c r="B45" s="7"/>
      <c r="C45" s="7"/>
      <c r="D45" s="28" t="s">
        <v>8</v>
      </c>
      <c r="E45" s="24"/>
      <c r="F45" s="25" t="s">
        <v>38</v>
      </c>
      <c r="G45" s="25">
        <v>8</v>
      </c>
      <c r="H45" s="27" t="s">
        <v>111</v>
      </c>
      <c r="I45" s="27"/>
      <c r="J45" s="27"/>
      <c r="K45" s="27"/>
      <c r="L45" s="27"/>
      <c r="M45" s="27"/>
      <c r="N45" s="27"/>
      <c r="O45" s="27"/>
      <c r="P45" s="27"/>
    </row>
    <row r="46" ht="22.7" customHeight="1" spans="1:16" x14ac:dyDescent="0.25">
      <c r="A46" s="18"/>
      <c r="B46" s="7"/>
      <c r="C46" s="7"/>
      <c r="D46" s="28" t="s">
        <v>8</v>
      </c>
      <c r="E46" s="24"/>
      <c r="F46" s="25" t="s">
        <v>40</v>
      </c>
      <c r="G46" s="25">
        <v>2</v>
      </c>
      <c r="H46" s="27" t="s">
        <v>32</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25</v>
      </c>
      <c r="I51" s="27"/>
      <c r="J51" s="27"/>
      <c r="K51" s="27"/>
      <c r="L51" s="27"/>
      <c r="M51" s="27"/>
      <c r="N51" s="27"/>
      <c r="O51" s="27"/>
      <c r="P51" s="27"/>
    </row>
    <row r="52" ht="22.7" customHeight="1" spans="1:16" x14ac:dyDescent="0.25">
      <c r="A52" s="18"/>
      <c r="B52" s="7"/>
      <c r="C52" s="7"/>
      <c r="D52" s="38" t="s">
        <v>54</v>
      </c>
      <c r="E52" s="24" t="s">
        <v>55</v>
      </c>
      <c r="F52" s="25" t="s">
        <v>56</v>
      </c>
      <c r="G52" s="25">
        <v>3</v>
      </c>
      <c r="H52" s="39" t="s">
        <v>57</v>
      </c>
      <c r="I52" s="39"/>
      <c r="J52" s="39"/>
      <c r="K52" s="39"/>
      <c r="L52" s="39"/>
      <c r="M52" s="39"/>
      <c r="N52" s="39"/>
      <c r="O52" s="39"/>
      <c r="P52" s="39"/>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69</v>
      </c>
      <c r="I56" s="27"/>
      <c r="J56" s="27"/>
      <c r="K56" s="27"/>
      <c r="L56" s="27"/>
      <c r="M56" s="27"/>
      <c r="N56" s="27"/>
      <c r="O56" s="27"/>
      <c r="P56" s="27"/>
    </row>
    <row r="57" ht="22.7" customHeight="1" spans="1:16" x14ac:dyDescent="0.25">
      <c r="A57" s="42" t="s">
        <v>70</v>
      </c>
      <c r="B57" s="13" t="s">
        <v>71</v>
      </c>
      <c r="C57" s="13"/>
      <c r="D57" s="43" t="s">
        <v>8</v>
      </c>
      <c r="E57" s="44" t="s">
        <v>72</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73</v>
      </c>
      <c r="B60" s="7" t="s">
        <v>74</v>
      </c>
      <c r="C60" s="7"/>
      <c r="D60" s="47" t="s">
        <v>8</v>
      </c>
      <c r="E60" s="48" t="s">
        <v>75</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76</v>
      </c>
      <c r="B63" s="7" t="s">
        <v>77</v>
      </c>
      <c r="C63" s="7"/>
      <c r="D63" s="50" t="s">
        <v>54</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0.81</v>
      </c>
      <c r="G72" s="61"/>
      <c r="H72" s="61"/>
      <c r="I72" s="61"/>
      <c r="J72" s="61"/>
      <c r="K72" s="61"/>
      <c r="L72" s="61"/>
      <c r="M72" s="61"/>
      <c r="N72" s="61"/>
      <c r="O72" s="61"/>
      <c r="P72" s="61"/>
    </row>
    <row r="73" ht="27.95" customHeight="1" spans="1:16" x14ac:dyDescent="0.25">
      <c r="A73" s="52"/>
      <c r="B73" s="53"/>
      <c r="C73" s="53"/>
      <c r="D73" s="62"/>
      <c r="E73" s="63"/>
      <c r="F73" s="60">
        <v>0.89</v>
      </c>
      <c r="G73" s="64"/>
      <c r="H73" s="64"/>
      <c r="I73" s="64"/>
      <c r="J73" s="64"/>
      <c r="K73" s="64"/>
      <c r="L73" s="64"/>
      <c r="M73" s="64"/>
      <c r="N73" s="64"/>
      <c r="O73" s="64"/>
      <c r="P73" s="64"/>
    </row>
    <row r="74" ht="27.6" customHeight="1" spans="1:16" x14ac:dyDescent="0.25">
      <c r="A74" s="52"/>
      <c r="B74" s="53"/>
      <c r="C74" s="53"/>
      <c r="D74" s="65"/>
      <c r="E74" s="63"/>
      <c r="F74" s="60"/>
      <c r="G74" s="66"/>
      <c r="H74" s="66"/>
      <c r="I74" s="66"/>
      <c r="J74" s="66"/>
      <c r="K74" s="66"/>
      <c r="L74" s="66"/>
      <c r="M74" s="66"/>
      <c r="N74" s="66"/>
      <c r="O74" s="66"/>
      <c r="P74" s="66"/>
    </row>
    <row r="75" ht="27.6" customHeight="1" spans="1:16" x14ac:dyDescent="0.25">
      <c r="A75" s="52"/>
      <c r="B75" s="53"/>
      <c r="C75" s="53"/>
      <c r="D75" s="58"/>
      <c r="E75" s="67"/>
      <c r="F75" s="60"/>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112</v>
      </c>
      <c r="I79" s="82"/>
      <c r="J79" s="82"/>
      <c r="K79" s="82"/>
      <c r="L79" s="82"/>
      <c r="M79" s="82"/>
      <c r="N79" s="82"/>
      <c r="O79" s="82"/>
      <c r="P79" s="82"/>
    </row>
    <row r="80" ht="22.7" customHeight="1" spans="1:16" x14ac:dyDescent="0.25">
      <c r="A80" s="69"/>
      <c r="B80" s="70"/>
      <c r="C80" s="70"/>
      <c r="D80" s="71"/>
      <c r="E80" s="83"/>
      <c r="F80" s="63"/>
      <c r="G80" s="81"/>
      <c r="H80" s="84" t="s">
        <v>113</v>
      </c>
      <c r="I80" s="84"/>
      <c r="J80" s="84"/>
      <c r="K80" s="84"/>
      <c r="L80" s="84"/>
      <c r="M80" s="84"/>
      <c r="N80" s="84"/>
      <c r="O80" s="84"/>
      <c r="P80" s="84"/>
    </row>
    <row r="81" ht="22.7" customHeight="1" spans="1:16" x14ac:dyDescent="0.25">
      <c r="A81" s="69"/>
      <c r="B81" s="70"/>
      <c r="C81" s="70"/>
      <c r="D81" s="71"/>
      <c r="E81" s="85"/>
      <c r="F81" s="80"/>
      <c r="G81" s="81"/>
      <c r="H81" s="84" t="s">
        <v>114</v>
      </c>
      <c r="I81" s="84"/>
      <c r="J81" s="84"/>
      <c r="K81" s="84"/>
      <c r="L81" s="84"/>
      <c r="M81" s="84"/>
      <c r="N81" s="84"/>
      <c r="O81" s="84"/>
      <c r="P81" s="84"/>
    </row>
    <row r="82" ht="22.7" customHeight="1" spans="1:16" x14ac:dyDescent="0.25">
      <c r="A82" s="69"/>
      <c r="B82" s="70"/>
      <c r="C82" s="70"/>
      <c r="D82" s="71"/>
      <c r="E82" s="79"/>
      <c r="F82" s="86"/>
      <c r="G82" s="81"/>
      <c r="H82" s="84" t="s">
        <v>115</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4" t="s">
        <v>54</v>
      </c>
      <c r="E84" s="91" t="s">
        <v>116</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7" t="s">
        <v>8</v>
      </c>
      <c r="E102" s="48"/>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76</v>
      </c>
      <c r="B105" s="7" t="s">
        <v>95</v>
      </c>
      <c r="C105" s="7"/>
      <c r="D105" s="47" t="s">
        <v>8</v>
      </c>
      <c r="E105" s="93" t="s">
        <v>117</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76</v>
      </c>
      <c r="B108" s="7" t="s">
        <v>97</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98</v>
      </c>
      <c r="B113" s="7" t="s">
        <v>99</v>
      </c>
      <c r="C113" s="7"/>
      <c r="D113" s="47" t="s">
        <v>8</v>
      </c>
      <c r="E113" s="48" t="s">
        <v>118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47" t="s">
        <v>8</v>
      </c>
      <c r="E121" s="48" t="s">
        <v>119</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120</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110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110</v>
      </c>
      <c r="I40" s="33"/>
      <c r="J40" s="33"/>
      <c r="K40" s="33"/>
      <c r="L40" s="33"/>
      <c r="M40" s="33"/>
      <c r="N40" s="33"/>
      <c r="O40" s="33"/>
      <c r="P40" s="33"/>
    </row>
    <row r="41" ht="22.7" customHeight="1" spans="1:16" x14ac:dyDescent="0.25">
      <c r="A41" s="18"/>
      <c r="B41" s="7"/>
      <c r="C41" s="7"/>
      <c r="D41" s="28" t="s">
        <v>8</v>
      </c>
      <c r="E41" s="31"/>
      <c r="F41" s="32" t="s">
        <v>30</v>
      </c>
      <c r="G41" s="26">
        <v>15</v>
      </c>
      <c r="H41" s="27" t="s">
        <v>25</v>
      </c>
      <c r="I41" s="27"/>
      <c r="J41" s="27"/>
      <c r="K41" s="27"/>
      <c r="L41" s="27"/>
      <c r="M41" s="27"/>
      <c r="N41" s="27"/>
      <c r="O41" s="27"/>
      <c r="P41" s="27"/>
    </row>
    <row r="42" ht="22.7" customHeight="1" spans="1:16" x14ac:dyDescent="0.25">
      <c r="A42" s="18"/>
      <c r="B42" s="7"/>
      <c r="C42" s="7"/>
      <c r="D42" s="28" t="s">
        <v>8</v>
      </c>
      <c r="E42" s="31"/>
      <c r="F42" s="32" t="s">
        <v>31</v>
      </c>
      <c r="G42" s="26">
        <v>1</v>
      </c>
      <c r="H42" s="34" t="s">
        <v>32</v>
      </c>
      <c r="I42" s="34"/>
      <c r="J42" s="34"/>
      <c r="K42" s="34"/>
      <c r="L42" s="34"/>
      <c r="M42" s="34"/>
      <c r="N42" s="34"/>
      <c r="O42" s="34"/>
      <c r="P42" s="34"/>
    </row>
    <row r="43" ht="22.7" customHeight="1" spans="1:16" x14ac:dyDescent="0.25">
      <c r="A43" s="18"/>
      <c r="B43" s="7"/>
      <c r="C43" s="7"/>
      <c r="D43" s="28" t="s">
        <v>8</v>
      </c>
      <c r="E43" s="35" t="s">
        <v>33</v>
      </c>
      <c r="F43" s="25" t="s">
        <v>34</v>
      </c>
      <c r="G43" s="26">
        <v>5</v>
      </c>
      <c r="H43" s="27" t="s">
        <v>35</v>
      </c>
      <c r="I43" s="27"/>
      <c r="J43" s="27"/>
      <c r="K43" s="27"/>
      <c r="L43" s="27"/>
      <c r="M43" s="27"/>
      <c r="N43" s="27"/>
      <c r="O43" s="27"/>
      <c r="P43" s="27"/>
    </row>
    <row r="44" ht="22.7" customHeight="1" spans="1:16" x14ac:dyDescent="0.25">
      <c r="A44" s="18"/>
      <c r="B44" s="7"/>
      <c r="C44" s="7"/>
      <c r="D44" s="28" t="s">
        <v>8</v>
      </c>
      <c r="E44" s="24" t="s">
        <v>36</v>
      </c>
      <c r="F44" s="25" t="s">
        <v>37</v>
      </c>
      <c r="G44" s="25">
        <v>2</v>
      </c>
      <c r="H44" s="27" t="s">
        <v>32</v>
      </c>
      <c r="I44" s="27"/>
      <c r="J44" s="27"/>
      <c r="K44" s="27"/>
      <c r="L44" s="27"/>
      <c r="M44" s="27"/>
      <c r="N44" s="27"/>
      <c r="O44" s="27"/>
      <c r="P44" s="27"/>
    </row>
    <row r="45" ht="22.7" customHeight="1" spans="1:16" x14ac:dyDescent="0.25">
      <c r="A45" s="18"/>
      <c r="B45" s="7"/>
      <c r="C45" s="7"/>
      <c r="D45" s="28" t="s">
        <v>8</v>
      </c>
      <c r="E45" s="24"/>
      <c r="F45" s="25" t="s">
        <v>38</v>
      </c>
      <c r="G45" s="25">
        <v>8</v>
      </c>
      <c r="H45" s="27" t="s">
        <v>124</v>
      </c>
      <c r="I45" s="27"/>
      <c r="J45" s="27"/>
      <c r="K45" s="27"/>
      <c r="L45" s="27"/>
      <c r="M45" s="27"/>
      <c r="N45" s="27"/>
      <c r="O45" s="27"/>
      <c r="P45" s="27"/>
    </row>
    <row r="46" ht="22.7" customHeight="1" spans="1:16" x14ac:dyDescent="0.25">
      <c r="A46" s="18"/>
      <c r="B46" s="7"/>
      <c r="C46" s="7"/>
      <c r="D46" s="28" t="s">
        <v>8</v>
      </c>
      <c r="E46" s="24"/>
      <c r="F46" s="25" t="s">
        <v>40</v>
      </c>
      <c r="G46" s="25">
        <v>2</v>
      </c>
      <c r="H46" s="27" t="s">
        <v>32</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25</v>
      </c>
      <c r="I51" s="27"/>
      <c r="J51" s="27"/>
      <c r="K51" s="27"/>
      <c r="L51" s="27"/>
      <c r="M51" s="27"/>
      <c r="N51" s="27"/>
      <c r="O51" s="27"/>
      <c r="P51" s="27"/>
    </row>
    <row r="52" ht="22.7" customHeight="1" spans="1:16" x14ac:dyDescent="0.25">
      <c r="A52" s="18"/>
      <c r="B52" s="7"/>
      <c r="C52" s="7"/>
      <c r="D52" s="28" t="s">
        <v>8</v>
      </c>
      <c r="E52" s="24" t="s">
        <v>55</v>
      </c>
      <c r="F52" s="25" t="s">
        <v>56</v>
      </c>
      <c r="G52" s="25">
        <v>3</v>
      </c>
      <c r="H52" s="39" t="s">
        <v>25</v>
      </c>
      <c r="I52" s="39"/>
      <c r="J52" s="39"/>
      <c r="K52" s="39"/>
      <c r="L52" s="39"/>
      <c r="M52" s="39"/>
      <c r="N52" s="39"/>
      <c r="O52" s="39"/>
      <c r="P52" s="39"/>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69</v>
      </c>
      <c r="I56" s="27"/>
      <c r="J56" s="27"/>
      <c r="K56" s="27"/>
      <c r="L56" s="27"/>
      <c r="M56" s="27"/>
      <c r="N56" s="27"/>
      <c r="O56" s="27"/>
      <c r="P56" s="27"/>
    </row>
    <row r="57" ht="22.7" customHeight="1" spans="1:16" x14ac:dyDescent="0.25">
      <c r="A57" s="42" t="s">
        <v>70</v>
      </c>
      <c r="B57" s="13" t="s">
        <v>71</v>
      </c>
      <c r="C57" s="13"/>
      <c r="D57" s="43" t="s">
        <v>8</v>
      </c>
      <c r="E57" s="44" t="s">
        <v>125</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73</v>
      </c>
      <c r="B60" s="7" t="s">
        <v>74</v>
      </c>
      <c r="C60" s="7"/>
      <c r="D60" s="47" t="s">
        <v>8</v>
      </c>
      <c r="E60" s="48" t="s">
        <v>75</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76</v>
      </c>
      <c r="B63" s="7" t="s">
        <v>77</v>
      </c>
      <c r="C63" s="7"/>
      <c r="D63" s="50" t="s">
        <v>54</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0.68</v>
      </c>
      <c r="G72" s="61"/>
      <c r="H72" s="61"/>
      <c r="I72" s="61"/>
      <c r="J72" s="61"/>
      <c r="K72" s="61"/>
      <c r="L72" s="61"/>
      <c r="M72" s="61"/>
      <c r="N72" s="61"/>
      <c r="O72" s="61"/>
      <c r="P72" s="61"/>
    </row>
    <row r="73" ht="27.95" customHeight="1" spans="1:16" x14ac:dyDescent="0.25">
      <c r="A73" s="52"/>
      <c r="B73" s="53"/>
      <c r="C73" s="53"/>
      <c r="D73" s="62"/>
      <c r="E73" s="63"/>
      <c r="F73" s="60">
        <v>0.8</v>
      </c>
      <c r="G73" s="64"/>
      <c r="H73" s="64"/>
      <c r="I73" s="64"/>
      <c r="J73" s="64"/>
      <c r="K73" s="64"/>
      <c r="L73" s="64"/>
      <c r="M73" s="64"/>
      <c r="N73" s="64"/>
      <c r="O73" s="64"/>
      <c r="P73" s="64"/>
    </row>
    <row r="74" ht="27.6" customHeight="1" spans="1:16" x14ac:dyDescent="0.25">
      <c r="A74" s="52"/>
      <c r="B74" s="53"/>
      <c r="C74" s="53"/>
      <c r="D74" s="65"/>
      <c r="E74" s="63"/>
      <c r="F74" s="60"/>
      <c r="G74" s="66"/>
      <c r="H74" s="66"/>
      <c r="I74" s="66"/>
      <c r="J74" s="66"/>
      <c r="K74" s="66"/>
      <c r="L74" s="66"/>
      <c r="M74" s="66"/>
      <c r="N74" s="66"/>
      <c r="O74" s="66"/>
      <c r="P74" s="66"/>
    </row>
    <row r="75" ht="27.6" customHeight="1" spans="1:16" x14ac:dyDescent="0.25">
      <c r="A75" s="52"/>
      <c r="B75" s="53"/>
      <c r="C75" s="53"/>
      <c r="D75" s="58"/>
      <c r="E75" s="67"/>
      <c r="F75" s="60"/>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126</v>
      </c>
      <c r="I79" s="82"/>
      <c r="J79" s="82"/>
      <c r="K79" s="82"/>
      <c r="L79" s="82"/>
      <c r="M79" s="82"/>
      <c r="N79" s="82"/>
      <c r="O79" s="82"/>
      <c r="P79" s="82"/>
    </row>
    <row r="80" ht="22.7" customHeight="1" spans="1:16" x14ac:dyDescent="0.25">
      <c r="A80" s="69"/>
      <c r="B80" s="70"/>
      <c r="C80" s="70"/>
      <c r="D80" s="71"/>
      <c r="E80" s="83"/>
      <c r="F80" s="63"/>
      <c r="G80" s="81"/>
      <c r="H80" s="84" t="s">
        <v>127</v>
      </c>
      <c r="I80" s="84"/>
      <c r="J80" s="84"/>
      <c r="K80" s="84"/>
      <c r="L80" s="84"/>
      <c r="M80" s="84"/>
      <c r="N80" s="84"/>
      <c r="O80" s="84"/>
      <c r="P80" s="84"/>
    </row>
    <row r="81" ht="22.7" customHeight="1" spans="1:16" x14ac:dyDescent="0.25">
      <c r="A81" s="69"/>
      <c r="B81" s="70"/>
      <c r="C81" s="70"/>
      <c r="D81" s="71"/>
      <c r="E81" s="85"/>
      <c r="F81" s="80"/>
      <c r="G81" s="81"/>
      <c r="H81" s="84" t="s">
        <v>128</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4" t="s">
        <v>54</v>
      </c>
      <c r="E84" s="91" t="s">
        <v>129</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95" t="s">
        <v>17</v>
      </c>
      <c r="E102" s="48" t="s">
        <v>130</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76</v>
      </c>
      <c r="B105" s="7" t="s">
        <v>95</v>
      </c>
      <c r="C105" s="7"/>
      <c r="D105" s="47" t="s">
        <v>8</v>
      </c>
      <c r="E105" s="93" t="s">
        <v>117</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76</v>
      </c>
      <c r="B108" s="7" t="s">
        <v>97</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98</v>
      </c>
      <c r="B113" s="7" t="s">
        <v>99</v>
      </c>
      <c r="C113" s="7"/>
      <c r="D113" s="50" t="s">
        <v>54</v>
      </c>
      <c r="E113" s="48" t="s">
        <v>131</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47" t="s">
        <v>8</v>
      </c>
      <c r="E121" s="48" t="s">
        <v>132</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133</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137</v>
      </c>
      <c r="I37" s="27"/>
      <c r="J37" s="27"/>
      <c r="K37" s="27"/>
      <c r="L37" s="27"/>
      <c r="M37" s="27"/>
      <c r="N37" s="27"/>
      <c r="O37" s="27"/>
      <c r="P37" s="27"/>
    </row>
    <row r="38" ht="22.7" customHeight="1" spans="1:16" x14ac:dyDescent="0.25">
      <c r="A38" s="18"/>
      <c r="B38" s="7"/>
      <c r="C38" s="7"/>
      <c r="D38" s="28" t="s">
        <v>8</v>
      </c>
      <c r="E38" s="29" t="s">
        <v>26</v>
      </c>
      <c r="F38" s="30" t="s">
        <v>24</v>
      </c>
      <c r="G38" s="26">
        <v>20</v>
      </c>
      <c r="H38" s="27" t="s">
        <v>110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110</v>
      </c>
      <c r="I40" s="33"/>
      <c r="J40" s="33"/>
      <c r="K40" s="33"/>
      <c r="L40" s="33"/>
      <c r="M40" s="33"/>
      <c r="N40" s="33"/>
      <c r="O40" s="33"/>
      <c r="P40" s="33"/>
    </row>
    <row r="41" ht="22.7" customHeight="1" spans="1:16" x14ac:dyDescent="0.25">
      <c r="A41" s="18"/>
      <c r="B41" s="7"/>
      <c r="C41" s="7"/>
      <c r="D41" s="28" t="s">
        <v>8</v>
      </c>
      <c r="E41" s="31"/>
      <c r="F41" s="32" t="s">
        <v>30</v>
      </c>
      <c r="G41" s="26">
        <v>15</v>
      </c>
      <c r="H41" s="27" t="s">
        <v>138</v>
      </c>
      <c r="I41" s="27"/>
      <c r="J41" s="27"/>
      <c r="K41" s="27"/>
      <c r="L41" s="27"/>
      <c r="M41" s="27"/>
      <c r="N41" s="27"/>
      <c r="O41" s="27"/>
      <c r="P41" s="27"/>
    </row>
    <row r="42" ht="22.7" customHeight="1" spans="1:16" x14ac:dyDescent="0.25">
      <c r="A42" s="18"/>
      <c r="B42" s="7"/>
      <c r="C42" s="7"/>
      <c r="D42" s="28" t="s">
        <v>8</v>
      </c>
      <c r="E42" s="31"/>
      <c r="F42" s="32" t="s">
        <v>31</v>
      </c>
      <c r="G42" s="26">
        <v>1</v>
      </c>
      <c r="H42" s="34" t="s">
        <v>32</v>
      </c>
      <c r="I42" s="34"/>
      <c r="J42" s="34"/>
      <c r="K42" s="34"/>
      <c r="L42" s="34"/>
      <c r="M42" s="34"/>
      <c r="N42" s="34"/>
      <c r="O42" s="34"/>
      <c r="P42" s="34"/>
    </row>
    <row r="43" ht="22.7" customHeight="1" spans="1:16" x14ac:dyDescent="0.25">
      <c r="A43" s="18"/>
      <c r="B43" s="7"/>
      <c r="C43" s="7"/>
      <c r="D43" s="28" t="s">
        <v>8</v>
      </c>
      <c r="E43" s="35" t="s">
        <v>33</v>
      </c>
      <c r="F43" s="25" t="s">
        <v>34</v>
      </c>
      <c r="G43" s="26">
        <v>5</v>
      </c>
      <c r="H43" s="27" t="s">
        <v>35</v>
      </c>
      <c r="I43" s="27"/>
      <c r="J43" s="27"/>
      <c r="K43" s="27"/>
      <c r="L43" s="27"/>
      <c r="M43" s="27"/>
      <c r="N43" s="27"/>
      <c r="O43" s="27"/>
      <c r="P43" s="27"/>
    </row>
    <row r="44" ht="22.7" customHeight="1" spans="1:16" x14ac:dyDescent="0.25">
      <c r="A44" s="18"/>
      <c r="B44" s="7"/>
      <c r="C44" s="7"/>
      <c r="D44" s="28" t="s">
        <v>8</v>
      </c>
      <c r="E44" s="24" t="s">
        <v>36</v>
      </c>
      <c r="F44" s="25" t="s">
        <v>37</v>
      </c>
      <c r="G44" s="25">
        <v>2</v>
      </c>
      <c r="H44" s="27" t="s">
        <v>32</v>
      </c>
      <c r="I44" s="27"/>
      <c r="J44" s="27"/>
      <c r="K44" s="27"/>
      <c r="L44" s="27"/>
      <c r="M44" s="27"/>
      <c r="N44" s="27"/>
      <c r="O44" s="27"/>
      <c r="P44" s="27"/>
    </row>
    <row r="45" ht="22.7" customHeight="1" spans="1:16" x14ac:dyDescent="0.25">
      <c r="A45" s="18"/>
      <c r="B45" s="7"/>
      <c r="C45" s="7"/>
      <c r="D45" s="28" t="s">
        <v>8</v>
      </c>
      <c r="E45" s="24"/>
      <c r="F45" s="25" t="s">
        <v>38</v>
      </c>
      <c r="G45" s="25">
        <v>8</v>
      </c>
      <c r="H45" s="27" t="s">
        <v>124</v>
      </c>
      <c r="I45" s="27"/>
      <c r="J45" s="27"/>
      <c r="K45" s="27"/>
      <c r="L45" s="27"/>
      <c r="M45" s="27"/>
      <c r="N45" s="27"/>
      <c r="O45" s="27"/>
      <c r="P45" s="27"/>
    </row>
    <row r="46" ht="22.7" customHeight="1" spans="1:16" x14ac:dyDescent="0.25">
      <c r="A46" s="18"/>
      <c r="B46" s="7"/>
      <c r="C46" s="7"/>
      <c r="D46" s="28" t="s">
        <v>8</v>
      </c>
      <c r="E46" s="24"/>
      <c r="F46" s="25" t="s">
        <v>40</v>
      </c>
      <c r="G46" s="25">
        <v>2</v>
      </c>
      <c r="H46" s="27" t="s">
        <v>32</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139</v>
      </c>
      <c r="I51" s="27"/>
      <c r="J51" s="27"/>
      <c r="K51" s="27"/>
      <c r="L51" s="27"/>
      <c r="M51" s="27"/>
      <c r="N51" s="27"/>
      <c r="O51" s="27"/>
      <c r="P51" s="27"/>
    </row>
    <row r="52" ht="22.7" customHeight="1" spans="1:16" x14ac:dyDescent="0.25">
      <c r="A52" s="18"/>
      <c r="B52" s="7"/>
      <c r="C52" s="7"/>
      <c r="D52" s="28" t="s">
        <v>8</v>
      </c>
      <c r="E52" s="24" t="s">
        <v>55</v>
      </c>
      <c r="F52" s="25" t="s">
        <v>56</v>
      </c>
      <c r="G52" s="25">
        <v>3</v>
      </c>
      <c r="H52" s="39" t="s">
        <v>25</v>
      </c>
      <c r="I52" s="39"/>
      <c r="J52" s="39"/>
      <c r="K52" s="39"/>
      <c r="L52" s="39"/>
      <c r="M52" s="39"/>
      <c r="N52" s="39"/>
      <c r="O52" s="39"/>
      <c r="P52" s="39"/>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69</v>
      </c>
      <c r="I56" s="27"/>
      <c r="J56" s="27"/>
      <c r="K56" s="27"/>
      <c r="L56" s="27"/>
      <c r="M56" s="27"/>
      <c r="N56" s="27"/>
      <c r="O56" s="27"/>
      <c r="P56" s="27"/>
    </row>
    <row r="57" ht="22.7" customHeight="1" spans="1:16" x14ac:dyDescent="0.25">
      <c r="A57" s="42" t="s">
        <v>70</v>
      </c>
      <c r="B57" s="13" t="s">
        <v>71</v>
      </c>
      <c r="C57" s="13"/>
      <c r="D57" s="43" t="s">
        <v>8</v>
      </c>
      <c r="E57" s="44" t="s">
        <v>125</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73</v>
      </c>
      <c r="B60" s="7" t="s">
        <v>74</v>
      </c>
      <c r="C60" s="7"/>
      <c r="D60" s="47" t="s">
        <v>8</v>
      </c>
      <c r="E60" s="48" t="s">
        <v>75</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76</v>
      </c>
      <c r="B63" s="7" t="s">
        <v>77</v>
      </c>
      <c r="C63" s="7"/>
      <c r="D63" s="50" t="s">
        <v>54</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0.7</v>
      </c>
      <c r="G72" s="61"/>
      <c r="H72" s="61"/>
      <c r="I72" s="61"/>
      <c r="J72" s="61"/>
      <c r="K72" s="61"/>
      <c r="L72" s="61"/>
      <c r="M72" s="61"/>
      <c r="N72" s="61"/>
      <c r="O72" s="61"/>
      <c r="P72" s="61"/>
    </row>
    <row r="73" ht="27.95" customHeight="1" spans="1:16" x14ac:dyDescent="0.25">
      <c r="A73" s="52"/>
      <c r="B73" s="53"/>
      <c r="C73" s="53"/>
      <c r="D73" s="62"/>
      <c r="E73" s="63"/>
      <c r="F73" s="60">
        <v>0.85</v>
      </c>
      <c r="G73" s="64"/>
      <c r="H73" s="64"/>
      <c r="I73" s="64"/>
      <c r="J73" s="64"/>
      <c r="K73" s="64"/>
      <c r="L73" s="64"/>
      <c r="M73" s="64"/>
      <c r="N73" s="64"/>
      <c r="O73" s="64"/>
      <c r="P73" s="64"/>
    </row>
    <row r="74" ht="27.6" customHeight="1" spans="1:16" x14ac:dyDescent="0.25">
      <c r="A74" s="52"/>
      <c r="B74" s="53"/>
      <c r="C74" s="53"/>
      <c r="D74" s="65"/>
      <c r="E74" s="63"/>
      <c r="F74" s="60"/>
      <c r="G74" s="66"/>
      <c r="H74" s="66"/>
      <c r="I74" s="66"/>
      <c r="J74" s="66"/>
      <c r="K74" s="66"/>
      <c r="L74" s="66"/>
      <c r="M74" s="66"/>
      <c r="N74" s="66"/>
      <c r="O74" s="66"/>
      <c r="P74" s="66"/>
    </row>
    <row r="75" ht="27.6" customHeight="1" spans="1:16" x14ac:dyDescent="0.25">
      <c r="A75" s="52"/>
      <c r="B75" s="53"/>
      <c r="C75" s="53"/>
      <c r="D75" s="58"/>
      <c r="E75" s="67"/>
      <c r="F75" s="60"/>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140</v>
      </c>
      <c r="I79" s="82"/>
      <c r="J79" s="82"/>
      <c r="K79" s="82"/>
      <c r="L79" s="82"/>
      <c r="M79" s="82"/>
      <c r="N79" s="82"/>
      <c r="O79" s="82"/>
      <c r="P79" s="82"/>
    </row>
    <row r="80" ht="22.7" customHeight="1" spans="1:16" x14ac:dyDescent="0.25">
      <c r="A80" s="69"/>
      <c r="B80" s="70"/>
      <c r="C80" s="70"/>
      <c r="D80" s="71"/>
      <c r="E80" s="83"/>
      <c r="F80" s="63"/>
      <c r="G80" s="81"/>
      <c r="H80" s="84" t="s">
        <v>141</v>
      </c>
      <c r="I80" s="84"/>
      <c r="J80" s="84"/>
      <c r="K80" s="84"/>
      <c r="L80" s="84"/>
      <c r="M80" s="84"/>
      <c r="N80" s="84"/>
      <c r="O80" s="84"/>
      <c r="P80" s="84"/>
    </row>
    <row r="81" ht="22.7" customHeight="1" spans="1:16" x14ac:dyDescent="0.25">
      <c r="A81" s="69"/>
      <c r="B81" s="70"/>
      <c r="C81" s="70"/>
      <c r="D81" s="71"/>
      <c r="E81" s="85"/>
      <c r="F81" s="80"/>
      <c r="G81" s="81"/>
      <c r="H81" s="84" t="s">
        <v>142</v>
      </c>
      <c r="I81" s="84"/>
      <c r="J81" s="84"/>
      <c r="K81" s="84"/>
      <c r="L81" s="84"/>
      <c r="M81" s="84"/>
      <c r="N81" s="84"/>
      <c r="O81" s="84"/>
      <c r="P81" s="84"/>
    </row>
    <row r="82" ht="22.7" customHeight="1" spans="1:16" x14ac:dyDescent="0.25">
      <c r="A82" s="69"/>
      <c r="B82" s="70"/>
      <c r="C82" s="70"/>
      <c r="D82" s="71"/>
      <c r="E82" s="79"/>
      <c r="F82" s="86"/>
      <c r="G82" s="81"/>
      <c r="H82" s="84" t="s">
        <v>143</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0" t="s">
        <v>17</v>
      </c>
      <c r="E84" s="91" t="s">
        <v>144</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7" t="s">
        <v>8</v>
      </c>
      <c r="E102" s="48" t="s">
        <v>94</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76</v>
      </c>
      <c r="B105" s="7" t="s">
        <v>95</v>
      </c>
      <c r="C105" s="7"/>
      <c r="D105" s="47" t="s">
        <v>8</v>
      </c>
      <c r="E105" s="93" t="s">
        <v>117</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76</v>
      </c>
      <c r="B108" s="7" t="s">
        <v>97</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98</v>
      </c>
      <c r="B113" s="7" t="s">
        <v>99</v>
      </c>
      <c r="C113" s="7"/>
      <c r="D113" s="50" t="s">
        <v>54</v>
      </c>
      <c r="E113" s="48" t="s">
        <v>145</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47" t="s">
        <v>8</v>
      </c>
      <c r="E121" s="48" t="s">
        <v>146</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147</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137</v>
      </c>
      <c r="I37" s="27"/>
      <c r="J37" s="27"/>
      <c r="K37" s="27"/>
      <c r="L37" s="27"/>
      <c r="M37" s="27"/>
      <c r="N37" s="27"/>
      <c r="O37" s="27"/>
      <c r="P37" s="27"/>
    </row>
    <row r="38" ht="22.7" customHeight="1" spans="1:16" x14ac:dyDescent="0.25">
      <c r="A38" s="18"/>
      <c r="B38" s="7"/>
      <c r="C38" s="7"/>
      <c r="D38" s="28" t="s">
        <v>8</v>
      </c>
      <c r="E38" s="29" t="s">
        <v>26</v>
      </c>
      <c r="F38" s="30" t="s">
        <v>24</v>
      </c>
      <c r="G38" s="26">
        <v>20</v>
      </c>
      <c r="H38" s="27" t="s">
        <v>110</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110</v>
      </c>
      <c r="I40" s="33"/>
      <c r="J40" s="33"/>
      <c r="K40" s="33"/>
      <c r="L40" s="33"/>
      <c r="M40" s="33"/>
      <c r="N40" s="33"/>
      <c r="O40" s="33"/>
      <c r="P40" s="33"/>
    </row>
    <row r="41" ht="22.7" customHeight="1" spans="1:16" x14ac:dyDescent="0.25">
      <c r="A41" s="18"/>
      <c r="B41" s="7"/>
      <c r="C41" s="7"/>
      <c r="D41" s="28" t="s">
        <v>8</v>
      </c>
      <c r="E41" s="31"/>
      <c r="F41" s="32" t="s">
        <v>30</v>
      </c>
      <c r="G41" s="26">
        <v>15</v>
      </c>
      <c r="H41" s="27" t="s">
        <v>138</v>
      </c>
      <c r="I41" s="27"/>
      <c r="J41" s="27"/>
      <c r="K41" s="27"/>
      <c r="L41" s="27"/>
      <c r="M41" s="27"/>
      <c r="N41" s="27"/>
      <c r="O41" s="27"/>
      <c r="P41" s="27"/>
    </row>
    <row r="42" ht="22.7" customHeight="1" spans="1:16" x14ac:dyDescent="0.25">
      <c r="A42" s="18"/>
      <c r="B42" s="7"/>
      <c r="C42" s="7"/>
      <c r="D42" s="28" t="s">
        <v>8</v>
      </c>
      <c r="E42" s="31"/>
      <c r="F42" s="32" t="s">
        <v>31</v>
      </c>
      <c r="G42" s="26">
        <v>1</v>
      </c>
      <c r="H42" s="34" t="s">
        <v>32</v>
      </c>
      <c r="I42" s="34"/>
      <c r="J42" s="34"/>
      <c r="K42" s="34"/>
      <c r="L42" s="34"/>
      <c r="M42" s="34"/>
      <c r="N42" s="34"/>
      <c r="O42" s="34"/>
      <c r="P42" s="34"/>
    </row>
    <row r="43" ht="22.7" customHeight="1" spans="1:16" x14ac:dyDescent="0.25">
      <c r="A43" s="18"/>
      <c r="B43" s="7"/>
      <c r="C43" s="7"/>
      <c r="D43" s="28" t="s">
        <v>8</v>
      </c>
      <c r="E43" s="35" t="s">
        <v>33</v>
      </c>
      <c r="F43" s="25" t="s">
        <v>34</v>
      </c>
      <c r="G43" s="26">
        <v>5</v>
      </c>
      <c r="H43" s="27" t="s">
        <v>35</v>
      </c>
      <c r="I43" s="27"/>
      <c r="J43" s="27"/>
      <c r="K43" s="27"/>
      <c r="L43" s="27"/>
      <c r="M43" s="27"/>
      <c r="N43" s="27"/>
      <c r="O43" s="27"/>
      <c r="P43" s="27"/>
    </row>
    <row r="44" ht="22.7" customHeight="1" spans="1:16" x14ac:dyDescent="0.25">
      <c r="A44" s="18"/>
      <c r="B44" s="7"/>
      <c r="C44" s="7"/>
      <c r="D44" s="28" t="s">
        <v>8</v>
      </c>
      <c r="E44" s="24" t="s">
        <v>36</v>
      </c>
      <c r="F44" s="25" t="s">
        <v>37</v>
      </c>
      <c r="G44" s="25">
        <v>2</v>
      </c>
      <c r="H44" s="27" t="s">
        <v>32</v>
      </c>
      <c r="I44" s="27"/>
      <c r="J44" s="27"/>
      <c r="K44" s="27"/>
      <c r="L44" s="27"/>
      <c r="M44" s="27"/>
      <c r="N44" s="27"/>
      <c r="O44" s="27"/>
      <c r="P44" s="27"/>
    </row>
    <row r="45" ht="22.7" customHeight="1" spans="1:16" x14ac:dyDescent="0.25">
      <c r="A45" s="18"/>
      <c r="B45" s="7"/>
      <c r="C45" s="7"/>
      <c r="D45" s="28" t="s">
        <v>8</v>
      </c>
      <c r="E45" s="24"/>
      <c r="F45" s="25" t="s">
        <v>38</v>
      </c>
      <c r="G45" s="25">
        <v>8</v>
      </c>
      <c r="H45" s="27" t="s">
        <v>124</v>
      </c>
      <c r="I45" s="27"/>
      <c r="J45" s="27"/>
      <c r="K45" s="27"/>
      <c r="L45" s="27"/>
      <c r="M45" s="27"/>
      <c r="N45" s="27"/>
      <c r="O45" s="27"/>
      <c r="P45" s="27"/>
    </row>
    <row r="46" ht="22.7" customHeight="1" spans="1:16" x14ac:dyDescent="0.25">
      <c r="A46" s="18"/>
      <c r="B46" s="7"/>
      <c r="C46" s="7"/>
      <c r="D46" s="28" t="s">
        <v>8</v>
      </c>
      <c r="E46" s="24"/>
      <c r="F46" s="25" t="s">
        <v>40</v>
      </c>
      <c r="G46" s="25">
        <v>2</v>
      </c>
      <c r="H46" s="27" t="s">
        <v>32</v>
      </c>
      <c r="I46" s="27"/>
      <c r="J46" s="27"/>
      <c r="K46" s="27"/>
      <c r="L46" s="27"/>
      <c r="M46" s="27"/>
      <c r="N46" s="27"/>
      <c r="O46" s="27"/>
      <c r="P46" s="27"/>
    </row>
    <row r="47" ht="22.7" customHeight="1" spans="1:16" x14ac:dyDescent="0.25">
      <c r="A47" s="18"/>
      <c r="B47" s="7"/>
      <c r="C47" s="7"/>
      <c r="D47" s="28" t="s">
        <v>8</v>
      </c>
      <c r="E47" s="36" t="s">
        <v>41</v>
      </c>
      <c r="F47" s="25" t="s">
        <v>42</v>
      </c>
      <c r="G47" s="25">
        <v>1</v>
      </c>
      <c r="H47" s="27" t="s">
        <v>43</v>
      </c>
      <c r="I47" s="27"/>
      <c r="J47" s="27"/>
      <c r="K47" s="27"/>
      <c r="L47" s="27"/>
      <c r="M47" s="27"/>
      <c r="N47" s="27"/>
      <c r="O47" s="27"/>
      <c r="P47" s="27"/>
    </row>
    <row r="48" ht="22.7" customHeight="1" spans="1:16" x14ac:dyDescent="0.25">
      <c r="A48" s="18"/>
      <c r="B48" s="7"/>
      <c r="C48" s="7"/>
      <c r="D48" s="28" t="s">
        <v>8</v>
      </c>
      <c r="E48" s="36" t="s">
        <v>44</v>
      </c>
      <c r="F48" s="25" t="s">
        <v>45</v>
      </c>
      <c r="G48" s="25">
        <v>2</v>
      </c>
      <c r="H48" s="27" t="s">
        <v>46</v>
      </c>
      <c r="I48" s="27"/>
      <c r="J48" s="27"/>
      <c r="K48" s="27"/>
      <c r="L48" s="27"/>
      <c r="M48" s="27"/>
      <c r="N48" s="27"/>
      <c r="O48" s="27"/>
      <c r="P48" s="27"/>
    </row>
    <row r="49" ht="22.7" customHeight="1" spans="1:16" x14ac:dyDescent="0.25">
      <c r="A49" s="18"/>
      <c r="B49" s="7"/>
      <c r="C49" s="7"/>
      <c r="D49" s="28" t="s">
        <v>8</v>
      </c>
      <c r="E49" s="36" t="s">
        <v>47</v>
      </c>
      <c r="F49" s="37" t="s">
        <v>45</v>
      </c>
      <c r="G49" s="25">
        <v>8</v>
      </c>
      <c r="H49" s="27" t="s">
        <v>48</v>
      </c>
      <c r="I49" s="27"/>
      <c r="J49" s="27"/>
      <c r="K49" s="27"/>
      <c r="L49" s="27"/>
      <c r="M49" s="27"/>
      <c r="N49" s="27"/>
      <c r="O49" s="27"/>
      <c r="P49" s="27"/>
    </row>
    <row r="50" ht="22.7" customHeight="1" spans="1:16" x14ac:dyDescent="0.25">
      <c r="A50" s="18"/>
      <c r="B50" s="7"/>
      <c r="C50" s="7"/>
      <c r="D50" s="28" t="s">
        <v>8</v>
      </c>
      <c r="E50" s="36" t="s">
        <v>49</v>
      </c>
      <c r="F50" s="25" t="s">
        <v>50</v>
      </c>
      <c r="G50" s="25">
        <v>2</v>
      </c>
      <c r="H50" s="27" t="s">
        <v>51</v>
      </c>
      <c r="I50" s="27"/>
      <c r="J50" s="27"/>
      <c r="K50" s="27"/>
      <c r="L50" s="27"/>
      <c r="M50" s="27"/>
      <c r="N50" s="27"/>
      <c r="O50" s="27"/>
      <c r="P50" s="27"/>
    </row>
    <row r="51" ht="22.7" customHeight="1" spans="1:16" x14ac:dyDescent="0.25">
      <c r="A51" s="18"/>
      <c r="B51" s="7"/>
      <c r="C51" s="7"/>
      <c r="D51" s="28" t="s">
        <v>8</v>
      </c>
      <c r="E51" s="36" t="s">
        <v>52</v>
      </c>
      <c r="F51" s="25" t="s">
        <v>53</v>
      </c>
      <c r="G51" s="25">
        <v>2</v>
      </c>
      <c r="H51" s="27" t="s">
        <v>139</v>
      </c>
      <c r="I51" s="27"/>
      <c r="J51" s="27"/>
      <c r="K51" s="27"/>
      <c r="L51" s="27"/>
      <c r="M51" s="27"/>
      <c r="N51" s="27"/>
      <c r="O51" s="27"/>
      <c r="P51" s="27"/>
    </row>
    <row r="52" ht="22.7" customHeight="1" spans="1:16" x14ac:dyDescent="0.25">
      <c r="A52" s="18"/>
      <c r="B52" s="7"/>
      <c r="C52" s="7"/>
      <c r="D52" s="28" t="s">
        <v>8</v>
      </c>
      <c r="E52" s="24" t="s">
        <v>55</v>
      </c>
      <c r="F52" s="25" t="s">
        <v>56</v>
      </c>
      <c r="G52" s="25">
        <v>3</v>
      </c>
      <c r="H52" s="39" t="s">
        <v>25</v>
      </c>
      <c r="I52" s="39"/>
      <c r="J52" s="39"/>
      <c r="K52" s="39"/>
      <c r="L52" s="39"/>
      <c r="M52" s="39"/>
      <c r="N52" s="39"/>
      <c r="O52" s="39"/>
      <c r="P52" s="39"/>
    </row>
    <row r="53" ht="22.7" customHeight="1" spans="1:16" x14ac:dyDescent="0.25">
      <c r="A53" s="18"/>
      <c r="B53" s="7"/>
      <c r="C53" s="7"/>
      <c r="D53" s="28" t="s">
        <v>8</v>
      </c>
      <c r="E53" s="36" t="s">
        <v>58</v>
      </c>
      <c r="F53" s="25" t="s">
        <v>59</v>
      </c>
      <c r="G53" s="25">
        <v>2</v>
      </c>
      <c r="H53" s="27" t="s">
        <v>60</v>
      </c>
      <c r="I53" s="27"/>
      <c r="J53" s="27"/>
      <c r="K53" s="27"/>
      <c r="L53" s="27"/>
      <c r="M53" s="27"/>
      <c r="N53" s="27"/>
      <c r="O53" s="27"/>
      <c r="P53" s="27"/>
    </row>
    <row r="54" ht="22.7" customHeight="1" spans="1:16" x14ac:dyDescent="0.25">
      <c r="A54" s="18"/>
      <c r="B54" s="7"/>
      <c r="C54" s="7"/>
      <c r="D54" s="28" t="s">
        <v>8</v>
      </c>
      <c r="E54" s="40" t="s">
        <v>61</v>
      </c>
      <c r="F54" s="25" t="s">
        <v>62</v>
      </c>
      <c r="G54" s="25">
        <v>5</v>
      </c>
      <c r="H54" s="41" t="s">
        <v>63</v>
      </c>
      <c r="I54" s="41"/>
      <c r="J54" s="41"/>
      <c r="K54" s="41"/>
      <c r="L54" s="41"/>
      <c r="M54" s="41"/>
      <c r="N54" s="41"/>
      <c r="O54" s="41"/>
      <c r="P54" s="41"/>
    </row>
    <row r="55" ht="22.7" customHeight="1" spans="1:16" x14ac:dyDescent="0.25">
      <c r="A55" s="18"/>
      <c r="B55" s="7"/>
      <c r="C55" s="7"/>
      <c r="D55" s="28" t="s">
        <v>8</v>
      </c>
      <c r="E55" s="24" t="s">
        <v>64</v>
      </c>
      <c r="F55" s="25" t="s">
        <v>65</v>
      </c>
      <c r="G55" s="25">
        <v>2</v>
      </c>
      <c r="H55" s="41" t="s">
        <v>66</v>
      </c>
      <c r="I55" s="41"/>
      <c r="J55" s="41"/>
      <c r="K55" s="41"/>
      <c r="L55" s="41"/>
      <c r="M55" s="41"/>
      <c r="N55" s="41"/>
      <c r="O55" s="41"/>
      <c r="P55" s="41"/>
    </row>
    <row r="56" ht="22.7" customHeight="1" spans="1:16" x14ac:dyDescent="0.25">
      <c r="A56" s="18"/>
      <c r="B56" s="7"/>
      <c r="C56" s="7"/>
      <c r="D56" s="28" t="s">
        <v>8</v>
      </c>
      <c r="E56" s="40" t="s">
        <v>67</v>
      </c>
      <c r="F56" s="25" t="s">
        <v>68</v>
      </c>
      <c r="G56" s="25">
        <v>10</v>
      </c>
      <c r="H56" s="27" t="s">
        <v>69</v>
      </c>
      <c r="I56" s="27"/>
      <c r="J56" s="27"/>
      <c r="K56" s="27"/>
      <c r="L56" s="27"/>
      <c r="M56" s="27"/>
      <c r="N56" s="27"/>
      <c r="O56" s="27"/>
      <c r="P56" s="27"/>
    </row>
    <row r="57" ht="22.7" customHeight="1" spans="1:16" x14ac:dyDescent="0.25">
      <c r="A57" s="42" t="s">
        <v>70</v>
      </c>
      <c r="B57" s="13" t="s">
        <v>71</v>
      </c>
      <c r="C57" s="13"/>
      <c r="D57" s="43" t="s">
        <v>8</v>
      </c>
      <c r="E57" s="44" t="s">
        <v>125</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73</v>
      </c>
      <c r="B60" s="7" t="s">
        <v>74</v>
      </c>
      <c r="C60" s="7"/>
      <c r="D60" s="47" t="s">
        <v>8</v>
      </c>
      <c r="E60" s="48" t="s">
        <v>75</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76</v>
      </c>
      <c r="B63" s="7" t="s">
        <v>77</v>
      </c>
      <c r="C63" s="7"/>
      <c r="D63" s="50" t="s">
        <v>54</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0.7</v>
      </c>
      <c r="G72" s="61"/>
      <c r="H72" s="61"/>
      <c r="I72" s="61"/>
      <c r="J72" s="61"/>
      <c r="K72" s="61"/>
      <c r="L72" s="61"/>
      <c r="M72" s="61"/>
      <c r="N72" s="61"/>
      <c r="O72" s="61"/>
      <c r="P72" s="61"/>
    </row>
    <row r="73" ht="27.95" customHeight="1" spans="1:16" x14ac:dyDescent="0.25">
      <c r="A73" s="52"/>
      <c r="B73" s="53"/>
      <c r="C73" s="53"/>
      <c r="D73" s="62"/>
      <c r="E73" s="63"/>
      <c r="F73" s="60">
        <v>0.85</v>
      </c>
      <c r="G73" s="64"/>
      <c r="H73" s="64"/>
      <c r="I73" s="64"/>
      <c r="J73" s="64"/>
      <c r="K73" s="64"/>
      <c r="L73" s="64"/>
      <c r="M73" s="64"/>
      <c r="N73" s="64"/>
      <c r="O73" s="64"/>
      <c r="P73" s="64"/>
    </row>
    <row r="74" ht="27.6" customHeight="1" spans="1:16" x14ac:dyDescent="0.25">
      <c r="A74" s="52"/>
      <c r="B74" s="53"/>
      <c r="C74" s="53"/>
      <c r="D74" s="65"/>
      <c r="E74" s="63"/>
      <c r="F74" s="60"/>
      <c r="G74" s="66"/>
      <c r="H74" s="66"/>
      <c r="I74" s="66"/>
      <c r="J74" s="66"/>
      <c r="K74" s="66"/>
      <c r="L74" s="66"/>
      <c r="M74" s="66"/>
      <c r="N74" s="66"/>
      <c r="O74" s="66"/>
      <c r="P74" s="66"/>
    </row>
    <row r="75" ht="27.6" customHeight="1" spans="1:16" x14ac:dyDescent="0.25">
      <c r="A75" s="52"/>
      <c r="B75" s="53"/>
      <c r="C75" s="53"/>
      <c r="D75" s="58"/>
      <c r="E75" s="67"/>
      <c r="F75" s="60"/>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76</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151</v>
      </c>
      <c r="I79" s="82"/>
      <c r="J79" s="82"/>
      <c r="K79" s="82"/>
      <c r="L79" s="82"/>
      <c r="M79" s="82"/>
      <c r="N79" s="82"/>
      <c r="O79" s="82"/>
      <c r="P79" s="82"/>
    </row>
    <row r="80" ht="22.7" customHeight="1" spans="1:16" x14ac:dyDescent="0.25">
      <c r="A80" s="69"/>
      <c r="B80" s="70"/>
      <c r="C80" s="70"/>
      <c r="D80" s="71"/>
      <c r="E80" s="83"/>
      <c r="F80" s="63"/>
      <c r="G80" s="81"/>
      <c r="H80" s="84" t="s">
        <v>152</v>
      </c>
      <c r="I80" s="84"/>
      <c r="J80" s="84"/>
      <c r="K80" s="84"/>
      <c r="L80" s="84"/>
      <c r="M80" s="84"/>
      <c r="N80" s="84"/>
      <c r="O80" s="84"/>
      <c r="P80" s="84"/>
    </row>
    <row r="81" ht="22.7" customHeight="1" spans="1:16" x14ac:dyDescent="0.25">
      <c r="A81" s="69"/>
      <c r="B81" s="70"/>
      <c r="C81" s="70"/>
      <c r="D81" s="71"/>
      <c r="E81" s="85"/>
      <c r="F81" s="80"/>
      <c r="G81" s="81"/>
      <c r="H81" s="84" t="s">
        <v>153</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76</v>
      </c>
      <c r="B84" s="7" t="s">
        <v>91</v>
      </c>
      <c r="C84" s="7"/>
      <c r="D84" s="90" t="s">
        <v>17</v>
      </c>
      <c r="E84" s="91" t="s">
        <v>154</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76</v>
      </c>
      <c r="B102" s="7" t="s">
        <v>93</v>
      </c>
      <c r="C102" s="7"/>
      <c r="D102" s="47" t="s">
        <v>8</v>
      </c>
      <c r="E102" s="48" t="s">
        <v>94</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76</v>
      </c>
      <c r="B105" s="7" t="s">
        <v>95</v>
      </c>
      <c r="C105" s="7"/>
      <c r="D105" s="47" t="s">
        <v>8</v>
      </c>
      <c r="E105" s="93" t="s">
        <v>96</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76</v>
      </c>
      <c r="B108" s="7" t="s">
        <v>97</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98</v>
      </c>
      <c r="B113" s="7" t="s">
        <v>99</v>
      </c>
      <c r="C113" s="7"/>
      <c r="D113" s="50" t="s">
        <v>54</v>
      </c>
      <c r="E113" s="48" t="s">
        <v>155</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101</v>
      </c>
      <c r="B121" s="7" t="s">
        <v>102</v>
      </c>
      <c r="C121" s="7"/>
      <c r="D121" s="47" t="s">
        <v>8</v>
      </c>
      <c r="E121" s="48" t="s">
        <v>156</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104</v>
      </c>
      <c r="B125" s="7" t="s">
        <v>105</v>
      </c>
      <c r="C125" s="7"/>
      <c r="D125" s="49"/>
      <c r="E125" s="48" t="s">
        <v>157</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4.20.26</vt:lpstr>
      <vt:lpstr>Tuesday 4.21.26</vt:lpstr>
      <vt:lpstr>Wednesday 4.22.26</vt:lpstr>
      <vt:lpstr>Thursday 4.23.26</vt:lpstr>
      <vt:lpstr>Friday 4.24.26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