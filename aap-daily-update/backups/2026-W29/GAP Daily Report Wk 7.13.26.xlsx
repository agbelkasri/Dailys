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7.13.26" state="visible" r:id="rId4"/>
    <sheet sheetId="2" name="Tuesday 7.14.26" state="visible" r:id="rId5"/>
    <sheet sheetId="3" name="Wednesday 7.15.26" state="visible" r:id="rId6"/>
    <sheet sheetId="4" name="Thursday 7.16.26" state="visible" r:id="rId7"/>
    <sheet sheetId="5" name="Friday 7.17.26" state="visible" r:id="rId8"/>
  </sheets>
  <calcPr calcId="171027"/>
</workbook>
</file>

<file path=xl/sharedStrings.xml><?xml version="1.0" encoding="utf-8"?>
<sst xmlns="http://schemas.openxmlformats.org/spreadsheetml/2006/main" count="771" uniqueCount="148">
  <si>
    <t xml:space="preserve">Email daily to:  Rav Sandhu, Sherree Martin,  Ron Scott, Adrian Silva, Yvonne Rodriguez, Kofi Oduro, Melissa Gardynik; Scott Jones
Email report daily at 5 pm.</t>
  </si>
  <si>
    <t>GAP Daily Update - Monday 7.13.26 - Submitted to Executive Team by 5 pm</t>
  </si>
  <si>
    <t>Responsible Party</t>
  </si>
  <si>
    <t>Measurable</t>
  </si>
  <si>
    <t xml:space="preserve">Status 
G/Y/R</t>
  </si>
  <si>
    <t>Comments / Explanation</t>
  </si>
  <si>
    <t>Nicole</t>
  </si>
  <si>
    <t>EHS</t>
  </si>
  <si>
    <t>G</t>
  </si>
  <si>
    <t>Staffing Issues</t>
  </si>
  <si>
    <t xml:space="preserve">2026 Q3 DL Requirement:  24
New Hires: 
Staff Changes:  
Total GAP Employees MINUS LOA: 
DL: 23
IDL: 9
Total Present:  
DL = 22
IDL = 9
Planned Absenteeism (Adv notice/approval):
DL: 
IDL:  
Unplanned Absenteeism 
DL:  Arturo Molina Mendez - (2-3 weeks)
IDL:  
Other: Kulwant Singh retires in August. IDL- Alfred Strauch (~ 3-5 months) Chrissi Adams (~ 6 weeks)</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</si>
  <si>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</si>
  <si>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</si>
  <si>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</si>
  <si>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</si>
  <si>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</si>
  <si>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</si>
  <si>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</si>
  <si>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</si>
  <si>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</si>
  <si>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</si>
  <si>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613 -8/24 614-8/24</t>
  </si>
  <si>
    <t>GM-FZ</t>
  </si>
  <si>
    <t>BT1FG</t>
  </si>
  <si>
    <t>936-7/20, 937-7/27</t>
  </si>
  <si>
    <t>BT1UG</t>
  </si>
  <si>
    <t>059-9/14, 060-9/14 679-3/1/27</t>
  </si>
  <si>
    <t>GM-WTZVL</t>
  </si>
  <si>
    <t>GMT610- Hinge</t>
  </si>
  <si>
    <t>237-7/22 238-8/3, 282 - 7/24, 644 - 7/30</t>
  </si>
  <si>
    <t>GMT610 Roller Brkt</t>
  </si>
  <si>
    <t>340-8/17, 566-8/10, 567-8/17</t>
  </si>
  <si>
    <t>GMT610 Check</t>
  </si>
  <si>
    <t>133-8/24</t>
  </si>
  <si>
    <t>EAP</t>
  </si>
  <si>
    <t>BT1YL</t>
  </si>
  <si>
    <t>9/1</t>
  </si>
  <si>
    <t>FCA</t>
  </si>
  <si>
    <t>DT</t>
  </si>
  <si>
    <t>7/23</t>
  </si>
  <si>
    <t>WL</t>
  </si>
  <si>
    <t>No requirements</t>
  </si>
  <si>
    <t>WS</t>
  </si>
  <si>
    <t>510 - 7/30 511 - 8/3</t>
  </si>
  <si>
    <t>CIE-MX</t>
  </si>
  <si>
    <t>WK/WL</t>
  </si>
  <si>
    <t>10/26</t>
  </si>
  <si>
    <t>CIE-AH</t>
  </si>
  <si>
    <t>9/21</t>
  </si>
  <si>
    <t>Kongsburg</t>
  </si>
  <si>
    <t>K-T680/T880</t>
  </si>
  <si>
    <t>7/24</t>
  </si>
  <si>
    <t>Lear - KY</t>
  </si>
  <si>
    <t>Lear - MX</t>
  </si>
  <si>
    <t>T1XX</t>
  </si>
  <si>
    <t>193-7/22 199-8/3</t>
  </si>
  <si>
    <t>Metalsa A</t>
  </si>
  <si>
    <t>JL-PHEV</t>
  </si>
  <si>
    <t>JL-7/30, J9-7/30</t>
  </si>
  <si>
    <t>Metalsa O</t>
  </si>
  <si>
    <t>JT</t>
  </si>
  <si>
    <t>020-7/27, 027-8/24</t>
  </si>
  <si>
    <t>NYX - LIVONIA</t>
  </si>
  <si>
    <t>S650</t>
  </si>
  <si>
    <t>8/3</t>
  </si>
  <si>
    <t>Toyo</t>
  </si>
  <si>
    <t>500B</t>
  </si>
  <si>
    <t>7/20</t>
  </si>
  <si>
    <t>AGG</t>
  </si>
  <si>
    <t>JL</t>
  </si>
  <si>
    <t>JL-7/28-J9-7/28</t>
  </si>
  <si>
    <t>Michele</t>
  </si>
  <si>
    <t>SERVICE</t>
  </si>
  <si>
    <t xml:space="preserve">GM-CCA - 13503000 Ok to ship on 7/6/26
AGG-SVC — JK
Hutchinson — 2</t>
  </si>
  <si>
    <t>Jeff Potter</t>
  </si>
  <si>
    <t>Supplier Issues</t>
  </si>
  <si>
    <t>No issues</t>
  </si>
  <si>
    <t>John W</t>
  </si>
  <si>
    <t>Labor / Overtime</t>
  </si>
  <si>
    <t>Y</t>
  </si>
  <si>
    <t xml:space="preserve">Direct Labor - Arturo Molina - ABS - RTW TBD
Indirect Labor - Alfred S - Non-work related medical RTW -Chrissy A - Non-work related medical - 
Open GL position -  Hand MIG weld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</si>
  <si>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</si>
  <si>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</si>
  <si>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</si>
  <si>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</si>
  <si>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</si>
  <si>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</si>
  <si>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</si>
  <si>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</si>
  <si>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</si>
  <si>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P115 , W514 Shut off faults X5 - W516 Adjustments to weld fixture due to stampings</t>
  </si>
  <si>
    <t>P102 - P108 - PS219 Die changes</t>
  </si>
  <si>
    <t>A892 - A894</t>
  </si>
  <si>
    <t>Operations Update - Critical Issues</t>
  </si>
  <si>
    <t xml:space="preserve">Auto area - No major concernsP100  C5142/43 - 6K run completed - Reviewing
P102 - C5122 - In die set
P106 -  C36019/20 - 2,371 of 5K run completed - Out of steel Team engaged
P108   C5133-0 - 5K run completed - C5153 - Going in next
P109   C9224 - Steel delivered late afternoon - Need to received in system for FPA
P112   C1010/1011 - Steel delivery past due - Team engaged
P114  C44897/64738 - 12K run completed - Dispatch clear - Reviewing
P115   C9287 - Running
P116   C32626 - Running
Line Die - No major concerns
PS202  - 3388-30 - Run completed
PS205  - GM610 - 84509133 - Run completed
PS209  -  6219-2-10/20 - Running
PS218  - 5126-6-10/20- Not scheduled
PS219  - 5133-0-10-  FPA obtained - Ready to run
Weld area - Welder 514- First phase of repair completed - Remainder of replacement parts on order
 CNC -   5816-20 - Running 
  W05-   5103-10 - Running as back-up
W507 -  5104/05 - Running
W513 -  20020-10 - Running
W514 -  69573-10- Currently running - Replacement parts on order to finish repairs needed
W515 -  3388-10 - Run completed - C/O to 3388-20 - Running
W516 - 5816-10  - Down - Team adjusting weld fixture due to feeler check failing on C5812
Assembly - 
 A886 - 23186613  - Run completed - 23186614 - Run completed
A500 -  C20001011 - Running
A838 - 22934282 - Running  - A839 - 84141644 - Not scheduled -  A837- 15150237 - Run completed
610 E , F , G -  610F - 20814566- completed- 610G 15837340- completed-  610E 20814567- Run completed
A891 - run completed  A892 - 6059-10 - Running- 6060-10 - Running
A893 - A894 - A889 - A890 - 
MAN - 4615-3 - Not scheduled</t>
  </si>
  <si>
    <t>MFG Mishit Reports</t>
  </si>
  <si>
    <t>None</t>
  </si>
  <si>
    <t>Housekeeping</t>
  </si>
  <si>
    <t xml:space="preserve">Floor scrubber needed to maintain clean floors - Team looking into repair cost for EAP's old scrubber - No timing communicated out -  Replacement delivered - Diego to report out timing
Housekeeping projects - None
EOS Daily housekeeping - Completed</t>
  </si>
  <si>
    <t>Change Overs</t>
  </si>
  <si>
    <t xml:space="preserve">PS219 - Die change
P108 - Die change</t>
  </si>
  <si>
    <t>Scott</t>
  </si>
  <si>
    <t>TOOLING</t>
  </si>
  <si>
    <t xml:space="preserve">Sand blaster is ready to rework parts. New sand was bought and works good
C5126 is in the tool room. Forms are scanned. Waiting on new forms to be made by Leroy
C193AA-11 parallels are out to blanchard grind
Monday review all done. Starting on reassembling dies
C6219-2 is in for a pm.  Punches and buttons are on order
Scott     Scheduled  9 hours   Unscheduled  0 hours
 Nick     Scheduled  8 hours   Unscheduled 0 hours</t>
  </si>
  <si>
    <t>Diego</t>
  </si>
  <si>
    <t>Maintenance</t>
  </si>
  <si>
    <t>pm's on waste water, drums , air compressors, &amp; air dryers.</t>
  </si>
  <si>
    <t>Yvonne</t>
  </si>
  <si>
    <t>Quality Concerns</t>
  </si>
  <si>
    <t xml:space="preserve"> |  | No new issues</t>
  </si>
  <si>
    <t>GAP Daily Update - Tuesday 7.14.26 - Submitted to Executive Team by 5 pm</t>
  </si>
  <si>
    <t>936-9/21, 937-9/21</t>
  </si>
  <si>
    <t>059-11/26, 060-12/14 679-3/1/27</t>
  </si>
  <si>
    <t>237-7/30 238-8/4, 282 - 7/24, 644 - 7/30</t>
  </si>
  <si>
    <t>340-8/17, 566-8/17, 567-8/17</t>
  </si>
  <si>
    <t>7/30</t>
  </si>
  <si>
    <t>8/6</t>
  </si>
  <si>
    <t>A894  camera and peen adjustments - P109 Die lube not pumping - W514 Faults - W516 porosity</t>
  </si>
  <si>
    <t xml:space="preserve">P108 C5153-7 Holes not pinning - Adjusting </t>
  </si>
  <si>
    <t>P109 Obtained FPA finished set up</t>
  </si>
  <si>
    <t>A889 - W515</t>
  </si>
  <si>
    <t xml:space="preserve">Auto area - No major concernsP100  C5142/43 - 6K run completed - Reviewing
P102 - C5122 - In die set
P106 -  C36019/20 - 2,371 of 5K run completed - Out of steel - Team engaged
P108    C5153 - Tooling issue during FPA process - Adjustments completed
P109   C9224 - Running
P112   C1010/1011 - Steel delivery past due - Team engaged
P114  C44897/64738 - 12K run completed - Dispatch clear - Reviewing
P115   C9287 - Running
P116   C32626 - Running
Line Die - No major concerns
PS202  - 3388-30 - Running
PS205  - GM610 - 84509133 - Run completed
PS209  -  6219-2-10/20 - Run completed
PS218  - 5126-6-10/20- Not scheduled
PS219  - 5133-0-10-  FPA obtained - Ready to run
Weld area - Welder 514- First phase of repair completed - Remainder of replacement parts on order
 CNC -   5816-20 - Running 
  W05-   5103-20 - Run completed - C/O to 5128-7-10 
W507 -  5104/05 - Running
W513 -  20020-10 - Running - increased run to cover 7/30 shipments
W514 -  69573-10- Currently running - Replacement parts on order to finish repairs needed
W515 -  3388-10 - Running
W516 - 5816-10  - Running
Assembly - 
 A886 - 23186613  - Run completed - 23186614 - Run completed
A500 -  C20001011 - Run completed
A838 - 22934282 - Not scheduled  - A839 - 84141644 - Not scheduled -  A837- 15150237 - Not scheduled
610 E , F , G -  610F - 20814566- completed- 610G 15837340- completed-  610E 20814567- Run completed
A891 - running  A892 - 6059-10 - Running- 6060-10 - Running
A893 - A894 - A889 - A890 - 
MAN - 4615-3 - Not scheduled</t>
  </si>
  <si>
    <t xml:space="preserve">P109 - Finished die change - Obtained FPA
P108 - Finished die change - Obtained FPA</t>
  </si>
  <si>
    <t>GAP Daily Update - Wednesday 7.15.26 - Submitted to Executive Team by 5 pm</t>
  </si>
  <si>
    <t xml:space="preserve">2026 Q3 DL Requirement:  24
New Hires: 
Staff Changes:  
Total GAP Employees MINUS LOA: 
DL: 23
IDL: 9
Total Present:  
DL = 20
IDL = 9
Planned Absenteeism (Adv notice/approval):
DL: Marie DePaz Pineda, Arturo Molina Mendez - (2-3 weeks)
IDL:  
Unplanned Absenteeism 
DL:  Angee Sears 
IDL:  
Other: Kulwant Singh retires in August. IDL- Alfred Strauch (~ 3-5 months) Chrissi Adams (~ 6 weeks)</t>
  </si>
  <si>
    <t>193-8/3 199-8/3</t>
  </si>
  <si>
    <t>020-8/5, 027-8/24</t>
  </si>
  <si>
    <t xml:space="preserve">Direct Labor - Arturo Molina - ABS - RTW TBD - Angela Sears - called off
Indirect Labor - Alfred S - Non-work related medical RTW -Chrissy A - Non-work related medical - 
Open GL position -  Hand MIG weld
Auto - 8 hours
Die Set - 8 hours - 
Weld area - 8 hours
W507 Hand MIG - 8 hours
CNC - 8 hours
Pack area -  hours - 
Assembly - 8 hours 
Line Die -  8 hours -</t>
  </si>
  <si>
    <t>W514 Faults and Weekly PM - W516 Gas change and weld fixture adjustment</t>
  </si>
  <si>
    <t>P106 - Stock rail repair - P109 C9224 lance punch</t>
  </si>
  <si>
    <t>A892</t>
  </si>
  <si>
    <t xml:space="preserve">- No Maintenance support last few hours-Diego at 10 mile-Rick Taylor at MMR for afternoon meetingP100  C5142/43 - 6K run completed - Reviewing
P102 - C5122 - In die set
P106 -  C36019/20 - Steel delivered late morning - Running
P108    C5153 - FPA obtained - Ready to run - 07/20 run date
P109   C9224 - 12K of 18K run completed - Out of steel - Balance of steel past due - Team engaged
P112   C1010/1011 - Steel delivery past due - Team engaged
P114  C44897/64738 - 12K run completed - Dispatch clear - Reviewing
P115   C9287 - Running
P116   C32626 - 40K run completed
Line Die - No major concerns
PS202  - 3388-30 - Run completed
PS205  - GM610 - 84509133 - Run completed
PS209  -  6219-2-10/20 - Run completed
PS218  - 5126-6-10/20- Not scheduled
PS219  - 5133-0-10-  Running
Weld area - Welder 514- First phase of repair completed - Remainder of replacement parts on order
 CNC -   5816-20 - Running 
  W05-   5128-7-10 - Running 
W507 -  5104/05 - Run completed - C/O to 5128-7-10 - Running
W513 -  20020-10 - Running - increased run to cover 7/30 shipments
W514 -  69573-10- Currently running - Replacement parts on order to finish repairs needed
W515 -  3388-10 - Run completed - Need to C/O - No maintenance support
W516 - 5816-10  - Running
Assembly - 
 A886 - 23186613  - Run completed - 23186614 - Run completed
A500 -  C20001011 - Run completed
A838 - 22934282 - Not scheduled  - A839 - 84141644 - Not scheduled -  A837- 15150237 - Not scheduled
610 E , F , G -  610F - 20814566- completed- 610G 15837340- completed-  610E 20814567- Run completed
A891 - running  A892 - 6059-10 - Running- 6060-10 - Running
A893 - A894 - A889 - A890 - 
MAN - 4615-3 - Not scheduled</t>
  </si>
  <si>
    <t xml:space="preserve">P108 - Finished die change - Obtained FPA
P106 - Steel delivered - FPA obtained</t>
  </si>
  <si>
    <t xml:space="preserve">Ran floor scrubber thru tool room. Worked good
Sand blaster is ready to rework parts. New sand was bought and works good
C5126 is in the tool room. Forms are scanned. Waiting on new forms to be made by Leroy
C193AA-11 parallels are back and mounted. Reassembled and put die back to production floor
C6219-2 is in for a pm.  Punches and buttons are on order
C47054/64722 was brought in for key slots on end lower parallels. Started machining parallels
Scott     Scheduled  9 hours   Unscheduled  0 hours
 Nick     Scheduled  8 hours   Unscheduled 0 hours</t>
  </si>
  <si>
    <t xml:space="preserve">pm's on hilo's
pm on W514 completed</t>
  </si>
  <si>
    <t>GAP Daily Update - Thursday 7.16.26 - Submitted to Executive Team by 5 pm</t>
  </si>
  <si>
    <t xml:space="preserve">Direct Labor - Arturo Molina - ABS - RTW TBD -
Indirect Labor - Alfred S - Non-work related medical RTW -Chrissy A - Non-work related medical - 
Open GL position -  Hand MIG weld
Auto - 8 hours
Die Set - 8 hours - 
Weld area - 8 hours
W507 Hand MIG - 8 hours
CNC - 8 hours
Pack area -  hours - 
Assembly - 8 hours 
Line Die -  8 hours -</t>
  </si>
  <si>
    <t>P115 - Press keeps stopping at top - W514 Crooked cups and start faults</t>
  </si>
  <si>
    <t>PA102 issues with FPA at set up - PS209</t>
  </si>
  <si>
    <t xml:space="preserve">Auto area - P115 press keeps stopping on top - Team troubleshooting while runningP100  C5142/43 - 6K run completed - Reviewing
P102 - C5122 - FPA obtained - Running
P106 -  C36019/20 - 5.5K run completed
P108    C5153 - Running
P109   C9224 - 12K of 18K run completed - Out of steel - Balance of steel past due - Team engaged
P112   C1010/1011 - Steel delivery past due - Team engaged
P114  C44897/64738 - 12K run completed - Dispatch clear - Reviewing
P115   C9287 - Running
P116   C32626 - 40K run completed - Reviewing
Line Die - No major concerns
PS202  - 3388-30 - Not scheduled
PS205  - GM610 - 84509133 - Run completed
PS209  -  6219-2-10/20 - Run completed - 5122-0-10 - FPA obtained - Ready to run
PS218  - 5126-6-10/20- Not scheduled
PS219  - 5133-0-10-  Running
Weld area - Welder 514- First phase of repair completed - Remainder of replacement parts on order
 CNC -   5816-20 - Running 
  W05-   5128-7-10 - Running 
W507 -   5128-7-10 - Running
W513 -  20020-10 - Run completed - C/O to 20019-10 - Running
W514 -  69573-10- Currently running 
W515 -  3388-10 - C/O to 3388-20 - Running
W516 - 5816-10  - Running
Assembly - 
 A886 - 23186613  - Run completed - 23186614 - Run completed
A500 -  C20001011 - Run completed
A838 - 22934282 - Not scheduled  - A839 - 84141644 - Not scheduled -  A837- 15150237 - Not scheduled
610 E , F , G -  610F - 20814566- completed- 610G 15837340- completed-  610E 20814567- Run completed
A891 - running  A892 - 6059-10 - Running- 6060-10 - Running
A893 - A894 - A889 - A890 - 
MAN - 4615-3 - Not scheduled</t>
  </si>
  <si>
    <t xml:space="preserve">Sand blaster is ready to rework parts tomorrow
C5126 is in the tool room. Forms are scanned. Waiting on new forms to be made by Leroy
C6219-2 is in for a pm.  Punches and buttons should be here tomorrow
C47054/64722 milled key slots for end parallels.  Put die back on production floor
Scott     Scheduled  9 hours   Unscheduled  0 hours
 Nick     Scheduled  8 hours   Unscheduled 0 hours</t>
  </si>
  <si>
    <t>pm's on automation machines , line die presses &amp; started on auto presses.</t>
  </si>
  <si>
    <t>GAP Daily Update - Friday 7.17.26 - Submitted to Executive Team by 5 pm</t>
  </si>
  <si>
    <t xml:space="preserve">2026 Q3 DL Requirement:  24
New Hires: 
Staff Changes:  
Total GAP Employees MINUS LOA: 
DL: 23
IDL: 9
Total Present:  
DL = 22
IDL = 9
Planned Absenteeism (Adv notice/approval):
DL: Arturo Molina Mendez - (2-3 weeks)
IDL:  
Unplanned Absenteeism 
DL:   
IDL:  
Other: Kulwant Singh retires in August. IDL- Alfred Strauch (~ 3-5 months) Chrissi Adams (~ 6 weeks)</t>
  </si>
  <si>
    <t>237-7/30 238-8/3, 282 - 7/24, 644 - 7/30</t>
  </si>
  <si>
    <t>133-8/17</t>
  </si>
  <si>
    <t>510 - 8/31 511 - 9/7</t>
  </si>
  <si>
    <t xml:space="preserve">Reworked pedals with sandblaster
Sent part numbers to Chris Richards for audit
Scott     Scheduled  9 hours   Unscheduled  0 hours
 Nick     Scheduled  8 hours   Unscheduled 0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</si>
</sst>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2">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80</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0.97</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0.95</v>
      </c>
      <c r="G74" s="64"/>
      <c r="H74" s="64"/>
      <c r="I74" s="64"/>
      <c r="J74" s="64"/>
      <c r="K74" s="64"/>
      <c r="L74" s="64"/>
      <c r="M74" s="64"/>
      <c r="N74" s="64"/>
      <c r="O74" s="64"/>
      <c r="P74" s="64"/>
    </row>
    <row r="75" ht="27.6" customHeight="1" spans="1:16" x14ac:dyDescent="0.25">
      <c r="A75" s="50"/>
      <c r="B75" s="51"/>
      <c r="C75" s="51"/>
      <c r="D75" s="56"/>
      <c r="E75" s="65"/>
      <c r="F75" s="58">
        <v>0.92</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90</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91</v>
      </c>
      <c r="I81" s="82"/>
      <c r="J81" s="82"/>
      <c r="K81" s="82"/>
      <c r="L81" s="82"/>
      <c r="M81" s="82"/>
      <c r="N81" s="82"/>
      <c r="O81" s="82"/>
      <c r="P81" s="82"/>
    </row>
    <row r="82" ht="22.7" customHeight="1" spans="1:16" x14ac:dyDescent="0.25">
      <c r="A82" s="67"/>
      <c r="B82" s="68"/>
      <c r="C82" s="68"/>
      <c r="D82" s="69"/>
      <c r="E82" s="77"/>
      <c r="F82" s="84"/>
      <c r="G82" s="79"/>
      <c r="H82" s="82" t="s">
        <v>92</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8</v>
      </c>
      <c r="E84" s="89" t="s">
        <v>94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100</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103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106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111</v>
      </c>
      <c r="I38" s="26"/>
      <c r="J38" s="26"/>
      <c r="K38" s="26"/>
      <c r="L38" s="26"/>
      <c r="M38" s="26"/>
      <c r="N38" s="26"/>
      <c r="O38" s="26"/>
      <c r="P38" s="26"/>
    </row>
    <row r="39" ht="22.7" customHeight="1" spans="1:16" x14ac:dyDescent="0.25">
      <c r="A39" s="17"/>
      <c r="B39" s="7"/>
      <c r="C39" s="7"/>
      <c r="D39" s="27" t="s">
        <v>8</v>
      </c>
      <c r="E39" s="28"/>
      <c r="F39" s="29" t="s">
        <v>25</v>
      </c>
      <c r="G39" s="25">
        <v>4</v>
      </c>
      <c r="H39" s="26" t="s">
        <v>112</v>
      </c>
      <c r="I39" s="26"/>
      <c r="J39" s="26"/>
      <c r="K39" s="26"/>
      <c r="L39" s="26"/>
      <c r="M39" s="26"/>
      <c r="N39" s="26"/>
      <c r="O39" s="26"/>
      <c r="P39" s="26"/>
    </row>
    <row r="40" ht="22.7" customHeight="1" spans="1:16" x14ac:dyDescent="0.25">
      <c r="A40" s="17"/>
      <c r="B40" s="7"/>
      <c r="C40" s="7"/>
      <c r="D40" s="27" t="s">
        <v>8</v>
      </c>
      <c r="E40" s="30" t="s">
        <v>27</v>
      </c>
      <c r="F40" s="31" t="s">
        <v>28</v>
      </c>
      <c r="G40" s="25">
        <v>4</v>
      </c>
      <c r="H40" s="32" t="s">
        <v>113</v>
      </c>
      <c r="I40" s="32"/>
      <c r="J40" s="32"/>
      <c r="K40" s="32"/>
      <c r="L40" s="32"/>
      <c r="M40" s="32"/>
      <c r="N40" s="32"/>
      <c r="O40" s="32"/>
      <c r="P40" s="32"/>
    </row>
    <row r="41" ht="22.7" customHeight="1" spans="1:16" x14ac:dyDescent="0.25">
      <c r="A41" s="17"/>
      <c r="B41" s="7"/>
      <c r="C41" s="7"/>
      <c r="D41" s="27" t="s">
        <v>8</v>
      </c>
      <c r="E41" s="30"/>
      <c r="F41" s="31" t="s">
        <v>30</v>
      </c>
      <c r="G41" s="25">
        <v>3</v>
      </c>
      <c r="H41" s="26" t="s">
        <v>114</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115</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116</v>
      </c>
      <c r="I54" s="39"/>
      <c r="J54" s="39"/>
      <c r="K54" s="39"/>
      <c r="L54" s="39"/>
      <c r="M54" s="39"/>
      <c r="N54" s="39"/>
      <c r="O54" s="39"/>
      <c r="P54" s="39"/>
    </row>
    <row r="55" ht="22.7" customHeight="1" spans="1:16" x14ac:dyDescent="0.25">
      <c r="A55" s="17"/>
      <c r="B55" s="7"/>
      <c r="C55" s="7"/>
      <c r="D55" s="27" t="s">
        <v>8</v>
      </c>
      <c r="E55" s="23" t="s">
        <v>65</v>
      </c>
      <c r="F55" s="24" t="s">
        <v>66</v>
      </c>
      <c r="G55" s="24">
        <v>13</v>
      </c>
      <c r="H55" s="39" t="s">
        <v>64</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80</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0.86</v>
      </c>
      <c r="G72" s="59"/>
      <c r="H72" s="59"/>
      <c r="I72" s="59"/>
      <c r="J72" s="59"/>
      <c r="K72" s="59"/>
      <c r="L72" s="59"/>
      <c r="M72" s="59"/>
      <c r="N72" s="59"/>
      <c r="O72" s="59"/>
      <c r="P72" s="59"/>
    </row>
    <row r="73" ht="27.95" customHeight="1" spans="1:16" x14ac:dyDescent="0.25">
      <c r="A73" s="50"/>
      <c r="B73" s="51"/>
      <c r="C73" s="51"/>
      <c r="D73" s="60"/>
      <c r="E73" s="61"/>
      <c r="F73" s="58">
        <v>0.98</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0.92</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117</v>
      </c>
      <c r="I79" s="80"/>
      <c r="J79" s="80"/>
      <c r="K79" s="80"/>
      <c r="L79" s="80"/>
      <c r="M79" s="80"/>
      <c r="N79" s="80"/>
      <c r="O79" s="80"/>
      <c r="P79" s="80"/>
    </row>
    <row r="80" ht="22.7" customHeight="1" spans="1:16" x14ac:dyDescent="0.25">
      <c r="A80" s="67"/>
      <c r="B80" s="68"/>
      <c r="C80" s="68"/>
      <c r="D80" s="69"/>
      <c r="E80" s="81"/>
      <c r="F80" s="61"/>
      <c r="G80" s="79"/>
      <c r="H80" s="82" t="s">
        <v>118</v>
      </c>
      <c r="I80" s="82"/>
      <c r="J80" s="82"/>
      <c r="K80" s="82"/>
      <c r="L80" s="82"/>
      <c r="M80" s="82"/>
      <c r="N80" s="82"/>
      <c r="O80" s="82"/>
      <c r="P80" s="82"/>
    </row>
    <row r="81" ht="22.7" customHeight="1" spans="1:16" x14ac:dyDescent="0.25">
      <c r="A81" s="67"/>
      <c r="B81" s="68"/>
      <c r="C81" s="68"/>
      <c r="D81" s="69"/>
      <c r="E81" s="83"/>
      <c r="F81" s="78"/>
      <c r="G81" s="79"/>
      <c r="H81" s="82" t="s">
        <v>119</v>
      </c>
      <c r="I81" s="82"/>
      <c r="J81" s="82"/>
      <c r="K81" s="82"/>
      <c r="L81" s="82"/>
      <c r="M81" s="82"/>
      <c r="N81" s="82"/>
      <c r="O81" s="82"/>
      <c r="P81" s="82"/>
    </row>
    <row r="82" ht="22.7" customHeight="1" spans="1:16" x14ac:dyDescent="0.25">
      <c r="A82" s="67"/>
      <c r="B82" s="68"/>
      <c r="C82" s="68"/>
      <c r="D82" s="69"/>
      <c r="E82" s="77"/>
      <c r="F82" s="84"/>
      <c r="G82" s="79"/>
      <c r="H82" s="82" t="s">
        <v>120</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8</v>
      </c>
      <c r="E84" s="89" t="s">
        <v>121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122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103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106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111</v>
      </c>
      <c r="I38" s="26"/>
      <c r="J38" s="26"/>
      <c r="K38" s="26"/>
      <c r="L38" s="26"/>
      <c r="M38" s="26"/>
      <c r="N38" s="26"/>
      <c r="O38" s="26"/>
      <c r="P38" s="26"/>
    </row>
    <row r="39" ht="22.7" customHeight="1" spans="1:16" x14ac:dyDescent="0.25">
      <c r="A39" s="17"/>
      <c r="B39" s="7"/>
      <c r="C39" s="7"/>
      <c r="D39" s="27" t="s">
        <v>8</v>
      </c>
      <c r="E39" s="28"/>
      <c r="F39" s="29" t="s">
        <v>25</v>
      </c>
      <c r="G39" s="25">
        <v>4</v>
      </c>
      <c r="H39" s="26" t="s">
        <v>112</v>
      </c>
      <c r="I39" s="26"/>
      <c r="J39" s="26"/>
      <c r="K39" s="26"/>
      <c r="L39" s="26"/>
      <c r="M39" s="26"/>
      <c r="N39" s="26"/>
      <c r="O39" s="26"/>
      <c r="P39" s="26"/>
    </row>
    <row r="40" ht="22.7" customHeight="1" spans="1:16" x14ac:dyDescent="0.25">
      <c r="A40" s="17"/>
      <c r="B40" s="7"/>
      <c r="C40" s="7"/>
      <c r="D40" s="27" t="s">
        <v>8</v>
      </c>
      <c r="E40" s="30" t="s">
        <v>27</v>
      </c>
      <c r="F40" s="31" t="s">
        <v>28</v>
      </c>
      <c r="G40" s="25">
        <v>4</v>
      </c>
      <c r="H40" s="32" t="s">
        <v>113</v>
      </c>
      <c r="I40" s="32"/>
      <c r="J40" s="32"/>
      <c r="K40" s="32"/>
      <c r="L40" s="32"/>
      <c r="M40" s="32"/>
      <c r="N40" s="32"/>
      <c r="O40" s="32"/>
      <c r="P40" s="32"/>
    </row>
    <row r="41" ht="22.7" customHeight="1" spans="1:16" x14ac:dyDescent="0.25">
      <c r="A41" s="17"/>
      <c r="B41" s="7"/>
      <c r="C41" s="7"/>
      <c r="D41" s="27" t="s">
        <v>8</v>
      </c>
      <c r="E41" s="30"/>
      <c r="F41" s="31" t="s">
        <v>30</v>
      </c>
      <c r="G41" s="25">
        <v>3</v>
      </c>
      <c r="H41" s="26" t="s">
        <v>114</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64</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125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126</v>
      </c>
      <c r="I53" s="26"/>
      <c r="J53" s="26"/>
      <c r="K53" s="26"/>
      <c r="L53" s="26"/>
      <c r="M53" s="26"/>
      <c r="N53" s="26"/>
      <c r="O53" s="26"/>
      <c r="P53" s="26"/>
    </row>
    <row r="54" ht="22.7" customHeight="1" spans="1:16" x14ac:dyDescent="0.25">
      <c r="A54" s="17"/>
      <c r="B54" s="7"/>
      <c r="C54" s="7"/>
      <c r="D54" s="27" t="s">
        <v>8</v>
      </c>
      <c r="E54" s="38" t="s">
        <v>62</v>
      </c>
      <c r="F54" s="24" t="s">
        <v>63</v>
      </c>
      <c r="G54" s="24">
        <v>2</v>
      </c>
      <c r="H54" s="39" t="s">
        <v>116</v>
      </c>
      <c r="I54" s="39"/>
      <c r="J54" s="39"/>
      <c r="K54" s="39"/>
      <c r="L54" s="39"/>
      <c r="M54" s="39"/>
      <c r="N54" s="39"/>
      <c r="O54" s="39"/>
      <c r="P54" s="39"/>
    </row>
    <row r="55" ht="22.7" customHeight="1" spans="1:16" x14ac:dyDescent="0.25">
      <c r="A55" s="17"/>
      <c r="B55" s="7"/>
      <c r="C55" s="7"/>
      <c r="D55" s="27" t="s">
        <v>8</v>
      </c>
      <c r="E55" s="23" t="s">
        <v>65</v>
      </c>
      <c r="F55" s="24" t="s">
        <v>66</v>
      </c>
      <c r="G55" s="24">
        <v>13</v>
      </c>
      <c r="H55" s="39" t="s">
        <v>64</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127</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0.95</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0.96</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128</v>
      </c>
      <c r="I79" s="80"/>
      <c r="J79" s="80"/>
      <c r="K79" s="80"/>
      <c r="L79" s="80"/>
      <c r="M79" s="80"/>
      <c r="N79" s="80"/>
      <c r="O79" s="80"/>
      <c r="P79" s="80"/>
    </row>
    <row r="80" ht="22.7" customHeight="1" spans="1:16" x14ac:dyDescent="0.25">
      <c r="A80" s="67"/>
      <c r="B80" s="68"/>
      <c r="C80" s="68"/>
      <c r="D80" s="69"/>
      <c r="E80" s="81"/>
      <c r="F80" s="61"/>
      <c r="G80" s="79"/>
      <c r="H80" s="82" t="s">
        <v>129</v>
      </c>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t="s">
        <v>130</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8</v>
      </c>
      <c r="E84" s="89" t="s">
        <v>131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132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133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134</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111</v>
      </c>
      <c r="I38" s="26"/>
      <c r="J38" s="26"/>
      <c r="K38" s="26"/>
      <c r="L38" s="26"/>
      <c r="M38" s="26"/>
      <c r="N38" s="26"/>
      <c r="O38" s="26"/>
      <c r="P38" s="26"/>
    </row>
    <row r="39" ht="22.7" customHeight="1" spans="1:16" x14ac:dyDescent="0.25">
      <c r="A39" s="17"/>
      <c r="B39" s="7"/>
      <c r="C39" s="7"/>
      <c r="D39" s="27" t="s">
        <v>8</v>
      </c>
      <c r="E39" s="28"/>
      <c r="F39" s="29" t="s">
        <v>25</v>
      </c>
      <c r="G39" s="25">
        <v>4</v>
      </c>
      <c r="H39" s="26" t="s">
        <v>112</v>
      </c>
      <c r="I39" s="26"/>
      <c r="J39" s="26"/>
      <c r="K39" s="26"/>
      <c r="L39" s="26"/>
      <c r="M39" s="26"/>
      <c r="N39" s="26"/>
      <c r="O39" s="26"/>
      <c r="P39" s="26"/>
    </row>
    <row r="40" ht="22.7" customHeight="1" spans="1:16" x14ac:dyDescent="0.25">
      <c r="A40" s="17"/>
      <c r="B40" s="7"/>
      <c r="C40" s="7"/>
      <c r="D40" s="27" t="s">
        <v>8</v>
      </c>
      <c r="E40" s="30" t="s">
        <v>27</v>
      </c>
      <c r="F40" s="31" t="s">
        <v>28</v>
      </c>
      <c r="G40" s="25">
        <v>4</v>
      </c>
      <c r="H40" s="32" t="s">
        <v>113</v>
      </c>
      <c r="I40" s="32"/>
      <c r="J40" s="32"/>
      <c r="K40" s="32"/>
      <c r="L40" s="32"/>
      <c r="M40" s="32"/>
      <c r="N40" s="32"/>
      <c r="O40" s="32"/>
      <c r="P40" s="32"/>
    </row>
    <row r="41" ht="22.7" customHeight="1" spans="1:16" x14ac:dyDescent="0.25">
      <c r="A41" s="17"/>
      <c r="B41" s="7"/>
      <c r="C41" s="7"/>
      <c r="D41" s="27" t="s">
        <v>8</v>
      </c>
      <c r="E41" s="30"/>
      <c r="F41" s="31" t="s">
        <v>30</v>
      </c>
      <c r="G41" s="25">
        <v>3</v>
      </c>
      <c r="H41" s="26" t="s">
        <v>114</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64</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125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126</v>
      </c>
      <c r="I53" s="26"/>
      <c r="J53" s="26"/>
      <c r="K53" s="26"/>
      <c r="L53" s="26"/>
      <c r="M53" s="26"/>
      <c r="N53" s="26"/>
      <c r="O53" s="26"/>
      <c r="P53" s="26"/>
    </row>
    <row r="54" ht="22.7" customHeight="1" spans="1:16" x14ac:dyDescent="0.25">
      <c r="A54" s="17"/>
      <c r="B54" s="7"/>
      <c r="C54" s="7"/>
      <c r="D54" s="27" t="s">
        <v>8</v>
      </c>
      <c r="E54" s="38" t="s">
        <v>62</v>
      </c>
      <c r="F54" s="24" t="s">
        <v>63</v>
      </c>
      <c r="G54" s="24">
        <v>2</v>
      </c>
      <c r="H54" s="39" t="s">
        <v>116</v>
      </c>
      <c r="I54" s="39"/>
      <c r="J54" s="39"/>
      <c r="K54" s="39"/>
      <c r="L54" s="39"/>
      <c r="M54" s="39"/>
      <c r="N54" s="39"/>
      <c r="O54" s="39"/>
      <c r="P54" s="39"/>
    </row>
    <row r="55" ht="22.7" customHeight="1" spans="1:16" x14ac:dyDescent="0.25">
      <c r="A55" s="17"/>
      <c r="B55" s="7"/>
      <c r="C55" s="7"/>
      <c r="D55" s="27" t="s">
        <v>8</v>
      </c>
      <c r="E55" s="23" t="s">
        <v>65</v>
      </c>
      <c r="F55" s="24" t="s">
        <v>66</v>
      </c>
      <c r="G55" s="24">
        <v>13</v>
      </c>
      <c r="H55" s="39" t="s">
        <v>64</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136</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0.93</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137</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138</v>
      </c>
      <c r="I81" s="82"/>
      <c r="J81" s="82"/>
      <c r="K81" s="82"/>
      <c r="L81" s="82"/>
      <c r="M81" s="82"/>
      <c r="N81" s="82"/>
      <c r="O81" s="82"/>
      <c r="P81" s="82"/>
    </row>
    <row r="82" ht="22.7" customHeight="1" spans="1:16" x14ac:dyDescent="0.25">
      <c r="A82" s="67"/>
      <c r="B82" s="68"/>
      <c r="C82" s="68"/>
      <c r="D82" s="69"/>
      <c r="E82" s="77"/>
      <c r="F82" s="84"/>
      <c r="G82" s="79"/>
      <c r="H82" s="82" t="s">
        <v>130</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8</v>
      </c>
      <c r="E84" s="89" t="s">
        <v>139</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132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140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141</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111</v>
      </c>
      <c r="I38" s="26"/>
      <c r="J38" s="26"/>
      <c r="K38" s="26"/>
      <c r="L38" s="26"/>
      <c r="M38" s="26"/>
      <c r="N38" s="26"/>
      <c r="O38" s="26"/>
      <c r="P38" s="26"/>
    </row>
    <row r="39" ht="22.7" customHeight="1" spans="1:16" x14ac:dyDescent="0.25">
      <c r="A39" s="17"/>
      <c r="B39" s="7"/>
      <c r="C39" s="7"/>
      <c r="D39" s="27" t="s">
        <v>8</v>
      </c>
      <c r="E39" s="28"/>
      <c r="F39" s="29" t="s">
        <v>25</v>
      </c>
      <c r="G39" s="25">
        <v>4</v>
      </c>
      <c r="H39" s="26" t="s">
        <v>112</v>
      </c>
      <c r="I39" s="26"/>
      <c r="J39" s="26"/>
      <c r="K39" s="26"/>
      <c r="L39" s="26"/>
      <c r="M39" s="26"/>
      <c r="N39" s="26"/>
      <c r="O39" s="26"/>
      <c r="P39" s="26"/>
    </row>
    <row r="40" ht="22.7" customHeight="1" spans="1:16" x14ac:dyDescent="0.25">
      <c r="A40" s="17"/>
      <c r="B40" s="7"/>
      <c r="C40" s="7"/>
      <c r="D40" s="27" t="s">
        <v>8</v>
      </c>
      <c r="E40" s="30" t="s">
        <v>27</v>
      </c>
      <c r="F40" s="31" t="s">
        <v>28</v>
      </c>
      <c r="G40" s="25">
        <v>4</v>
      </c>
      <c r="H40" s="32" t="s">
        <v>144</v>
      </c>
      <c r="I40" s="32"/>
      <c r="J40" s="32"/>
      <c r="K40" s="32"/>
      <c r="L40" s="32"/>
      <c r="M40" s="32"/>
      <c r="N40" s="32"/>
      <c r="O40" s="32"/>
      <c r="P40" s="32"/>
    </row>
    <row r="41" ht="22.7" customHeight="1" spans="1:16" x14ac:dyDescent="0.25">
      <c r="A41" s="17"/>
      <c r="B41" s="7"/>
      <c r="C41" s="7"/>
      <c r="D41" s="27" t="s">
        <v>8</v>
      </c>
      <c r="E41" s="30"/>
      <c r="F41" s="31" t="s">
        <v>30</v>
      </c>
      <c r="G41" s="25">
        <v>3</v>
      </c>
      <c r="H41" s="26" t="s">
        <v>114</v>
      </c>
      <c r="I41" s="26"/>
      <c r="J41" s="26"/>
      <c r="K41" s="26"/>
      <c r="L41" s="26"/>
      <c r="M41" s="26"/>
      <c r="N41" s="26"/>
      <c r="O41" s="26"/>
      <c r="P41" s="26"/>
    </row>
    <row r="42" ht="22.7" customHeight="1" spans="1:16" x14ac:dyDescent="0.25">
      <c r="A42" s="17"/>
      <c r="B42" s="7"/>
      <c r="C42" s="7"/>
      <c r="D42" s="27" t="s">
        <v>8</v>
      </c>
      <c r="E42" s="30"/>
      <c r="F42" s="31" t="s">
        <v>32</v>
      </c>
      <c r="G42" s="25">
        <v>1</v>
      </c>
      <c r="H42" s="33" t="s">
        <v>145</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115</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146</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125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126</v>
      </c>
      <c r="I53" s="26"/>
      <c r="J53" s="26"/>
      <c r="K53" s="26"/>
      <c r="L53" s="26"/>
      <c r="M53" s="26"/>
      <c r="N53" s="26"/>
      <c r="O53" s="26"/>
      <c r="P53" s="26"/>
    </row>
    <row r="54" ht="22.7" customHeight="1" spans="1:16" x14ac:dyDescent="0.25">
      <c r="A54" s="17"/>
      <c r="B54" s="7"/>
      <c r="C54" s="7"/>
      <c r="D54" s="27" t="s">
        <v>8</v>
      </c>
      <c r="E54" s="38" t="s">
        <v>62</v>
      </c>
      <c r="F54" s="24" t="s">
        <v>63</v>
      </c>
      <c r="G54" s="24">
        <v>2</v>
      </c>
      <c r="H54" s="39" t="s">
        <v>116</v>
      </c>
      <c r="I54" s="39"/>
      <c r="J54" s="39"/>
      <c r="K54" s="39"/>
      <c r="L54" s="39"/>
      <c r="M54" s="39"/>
      <c r="N54" s="39"/>
      <c r="O54" s="39"/>
      <c r="P54" s="39"/>
    </row>
    <row r="55" ht="22.7" customHeight="1" spans="1:16" x14ac:dyDescent="0.25">
      <c r="A55" s="17"/>
      <c r="B55" s="7"/>
      <c r="C55" s="7"/>
      <c r="D55" s="27" t="s">
        <v>8</v>
      </c>
      <c r="E55" s="23" t="s">
        <v>65</v>
      </c>
      <c r="F55" s="24" t="s">
        <v>66</v>
      </c>
      <c r="G55" s="24">
        <v>13</v>
      </c>
      <c r="H55" s="39" t="s">
        <v>64</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136</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0.93</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137</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138</v>
      </c>
      <c r="I81" s="82"/>
      <c r="J81" s="82"/>
      <c r="K81" s="82"/>
      <c r="L81" s="82"/>
      <c r="M81" s="82"/>
      <c r="N81" s="82"/>
      <c r="O81" s="82"/>
      <c r="P81" s="82"/>
    </row>
    <row r="82" ht="22.7" customHeight="1" spans="1:16" x14ac:dyDescent="0.25">
      <c r="A82" s="67"/>
      <c r="B82" s="68"/>
      <c r="C82" s="68"/>
      <c r="D82" s="69"/>
      <c r="E82" s="77"/>
      <c r="F82" s="84"/>
      <c r="G82" s="79"/>
      <c r="H82" s="82" t="s">
        <v>130</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8</v>
      </c>
      <c r="E84" s="89" t="s">
        <v>139</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132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147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141</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7.13.26</vt:lpstr>
      <vt:lpstr>Tuesday 7.14.26</vt:lpstr>
      <vt:lpstr>Wednesday 7.15.26</vt:lpstr>
      <vt:lpstr>Thursday 7.16.26</vt:lpstr>
      <vt:lpstr>Friday 7.17.26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