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20.26" state="visible" r:id="rId4"/>
    <sheet sheetId="2" name="Tuesday 7.21.26" state="visible" r:id="rId5"/>
    <sheet sheetId="3" name="Wednesday 7.22.26" state="visible" r:id="rId6"/>
    <sheet sheetId="4" name="Thursday 7.23.26" state="visible" r:id="rId7"/>
    <sheet sheetId="5" name="Friday 7.24.26" state="visible" r:id="rId8"/>
  </sheets>
  <calcPr calcId="171027"/>
</workbook>
</file>

<file path=xl/sharedStrings.xml><?xml version="1.0" encoding="utf-8"?>
<sst xmlns="http://schemas.openxmlformats.org/spreadsheetml/2006/main" count="767" uniqueCount="154">
  <si>
    <t xml:space="preserve">Email daily to:  Rav Sandhu, Sherree Martin,  Ron Scott, Adrian Silva, Yvonne Rodriguez, Kofi Oduro, Melissa Gardynik; Scott Jones
Email report daily at 5 pm.</t>
  </si>
  <si>
    <t>GAP Daily Update - Monday 7.20.26 -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</si>
  <si>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</si>
  <si>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</si>
  <si>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</si>
  <si>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</si>
  <si>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</si>
  <si>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</si>
  <si>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</si>
  <si>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</si>
  <si>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23
IDL: 9
Total Present:  
DL = 21
IDL = 9
Planned Absenteeism (Adv notice/approval):
DL: Arturo Molina Mendez - (2-3 weeks)
IDL:  
Unplanned Absenteeism 
DL:   Irma Hernandez
IDL:  
Other: Kulwant Singh retires in August. IDL- Alfred Strauch (~ 3-5 months) Chrissi Adams (~ 6 weeks)</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</si>
  <si>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</si>
  <si>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</si>
  <si>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</si>
  <si>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</si>
  <si>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</si>
  <si>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</si>
  <si>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</si>
  <si>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</si>
  <si>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</si>
  <si>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</si>
  <si>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613 -8/24 614-8/24</t>
  </si>
  <si>
    <t>GM-FZ</t>
  </si>
  <si>
    <t>BT1FG</t>
  </si>
  <si>
    <t>936-9/21, 937-9/21</t>
  </si>
  <si>
    <t>BT1UG</t>
  </si>
  <si>
    <t>059-11/26, 060-12/14 679-3/1/27</t>
  </si>
  <si>
    <t>GM-WTZVL</t>
  </si>
  <si>
    <t>GMT610- Hinge</t>
  </si>
  <si>
    <t>237-7/30 238-8/3, 282 - 7/24, 644 - 7/30</t>
  </si>
  <si>
    <t>GMT610 Roller Brkt</t>
  </si>
  <si>
    <t>340-8/17, 566-8/17, 567-8/17</t>
  </si>
  <si>
    <t>GMT610 Check</t>
  </si>
  <si>
    <t>133-8/17</t>
  </si>
  <si>
    <t>EAP</t>
  </si>
  <si>
    <t>BT1YL</t>
  </si>
  <si>
    <t>9/1</t>
  </si>
  <si>
    <t>FCA</t>
  </si>
  <si>
    <t>DT</t>
  </si>
  <si>
    <t>7/30</t>
  </si>
  <si>
    <t>WL</t>
  </si>
  <si>
    <t>No requirements</t>
  </si>
  <si>
    <t>WS</t>
  </si>
  <si>
    <t>510 - 8/18 511 - 8/24</t>
  </si>
  <si>
    <t>CIE-MX</t>
  </si>
  <si>
    <t>WK/WL</t>
  </si>
  <si>
    <t>10/26</t>
  </si>
  <si>
    <t>CIE-AH</t>
  </si>
  <si>
    <t>9/21</t>
  </si>
  <si>
    <t>Kongsburg</t>
  </si>
  <si>
    <t>K-T680/T880</t>
  </si>
  <si>
    <t>7/24</t>
  </si>
  <si>
    <t>Lear - KY</t>
  </si>
  <si>
    <t>Lear - MX</t>
  </si>
  <si>
    <t>T1XX</t>
  </si>
  <si>
    <t>193-8/3 199-8/3</t>
  </si>
  <si>
    <t>Metalsa A</t>
  </si>
  <si>
    <t>JL-PHEV</t>
  </si>
  <si>
    <t>JL-7/30, J9-7/30</t>
  </si>
  <si>
    <t>Metalsa O</t>
  </si>
  <si>
    <t>JT</t>
  </si>
  <si>
    <t>020-8/5, 027-8/24</t>
  </si>
  <si>
    <t>NYX - LIVONIA</t>
  </si>
  <si>
    <t>S650</t>
  </si>
  <si>
    <t>8/6</t>
  </si>
  <si>
    <t>Toyo</t>
  </si>
  <si>
    <t>500B</t>
  </si>
  <si>
    <t>8/3</t>
  </si>
  <si>
    <t>AGG</t>
  </si>
  <si>
    <t>JL</t>
  </si>
  <si>
    <t>JL-7/30-J9-7/23</t>
  </si>
  <si>
    <t>Michele</t>
  </si>
  <si>
    <t>SERVICE</t>
  </si>
  <si>
    <t xml:space="preserve">GM-CCA - 13503000 Ok to ship on 7/6/26
AGG-SVC — JK
Hutchinson — 2</t>
  </si>
  <si>
    <t>Jeff Potter</t>
  </si>
  <si>
    <t>Supplier Issues</t>
  </si>
  <si>
    <t>No issues</t>
  </si>
  <si>
    <t>John W</t>
  </si>
  <si>
    <t>Labor / Overtime</t>
  </si>
  <si>
    <t>Y</t>
  </si>
  <si>
    <t xml:space="preserve">Direct Labor - Arturo Molina - ABS - RTW TBD - Irma H - ABS Doctor appointment 
Indirect Labor - Alfred S - Non-work related medical RTW -Chrissy A - Non-work related medical - Diego Garcia - Attending training all week .
Open GL position -  Hand MIG weld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</si>
  <si>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</si>
  <si>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</si>
  <si>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</si>
  <si>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</si>
  <si>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</si>
  <si>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</si>
  <si>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</si>
  <si>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</si>
  <si>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</si>
  <si>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P115 - Press keeps stopping at top - W514 Crooked cups and start faults</t>
  </si>
  <si>
    <t>PA102 issues with FPA at set up - PS209</t>
  </si>
  <si>
    <t>A892</t>
  </si>
  <si>
    <t>Operations Update - Critical Issues</t>
  </si>
  <si>
    <t xml:space="preserve">Auto area - P115 press keeps stopping on top - Team troubleshooting while running                    P114 Down Fan fault - Team engaged no timing
P100  C5142/43 - 6K run completed - Reviewing
P102 - C5122 - Running
P106 -  C36019/20 - Increased run to 7K - Completed
P108    C5153 - Running
P109   C9224 - 12K of 18K run completed - Out of steel - Balance of steel past due - Team engaged
P112   C1010/1011 - Steel delivery past due - Team engaged
P114  C44897/64738 - FPA obtained - Press is Down with fan fault - Team engaged 
P115   C9287 - Running
P116   C32626 - 40K run completed - Reviewing
Line Die - No major concerns
PS202  - 3388-30 - Running
PS205  - GM610 - 84509133 - Run completed
PS209  -  5122-0-10 - FPA obtained - Ready to run
PS218  - 5126-6-10/20- Not scheduled
PS219  - 5133-0-10-  Running
Weld area - Welder 514- First phase of repair completed - Remainder of replacement parts on order
 CNC -   5816-20 - Running 
  W05-   5128-7-10 - Running 
W507 -   5128-7-10 - Running
W513 -   20019-10 - Running
W514 -  69573-10- Currently running 
W515 - 3388-20 - Run completed - C/O to 3388-10 - Running
W516 - 5816-10  - Running
Assembly - 
 A886 - 23186613  - Run completed - 23186614 - Run completed
A500 -  C20001011 - Run completed
A838 - 22934282 - Not scheduled  - A839 - 84141644 - Not scheduled -  A837- 15150237 - Not scheduled
610 E , F , G -  610F - 20814566- completed- 610G 15837340- completed-  610E 20814567- Run completed
A891 - running  A892 - 6059-10 - Running- 6060-10 - Running
A893 - A894 - A889 - A890 - 
MAN - 4615-3 - Not scheduled</t>
  </si>
  <si>
    <t>MFG Mishit Reports</t>
  </si>
  <si>
    <t>None</t>
  </si>
  <si>
    <t>Housekeeping</t>
  </si>
  <si>
    <t xml:space="preserve">Floor scrubber needed to maintain clean floors - Team looking into repair cost for EAP's old scrubber - No timing communicated out -  Replacement delivered - Diego to report out timing
Housekeeping projects - None
EOS Daily housekeeping - Completed</t>
  </si>
  <si>
    <t>Change Overs</t>
  </si>
  <si>
    <t>Scott</t>
  </si>
  <si>
    <t>TOOLING</t>
  </si>
  <si>
    <t xml:space="preserve">Finished 2nd basket of pedals this morning with sand blaster
Leroy working on data for C5126 forms
C6219 punches and buttons came in. Will continue on pm tomorrow
C2235/2236 is in for a pm.  Slot hole
Scott     Scheduled  9 hours   Unscheduled  0 hours
 Nick     Scheduled  8 hours   Unscheduled 0 hours</t>
  </si>
  <si>
    <t>Diego</t>
  </si>
  <si>
    <t>Maintenance</t>
  </si>
  <si>
    <t>pm's on automation machines , line die presses &amp; started on auto presses.</t>
  </si>
  <si>
    <t>Yvonne</t>
  </si>
  <si>
    <t>Quality Concerns</t>
  </si>
  <si>
    <t xml:space="preserve"> |  | No new issues</t>
  </si>
  <si>
    <t>GAP Daily Update - Tuesday 7.21.26 - Submitted to Executive Team by 5 pm</t>
  </si>
  <si>
    <t xml:space="preserve">2026 Q3 DL Requirement:  24
New Hires: 
Staff Changes:  
Total GAP Employees MINUS LOA: 
DL: 22
IDL: 9
Total Present:  
DL = 21
IDL = 9
Planned Absenteeism (Adv notice/approval):
DL: 
IDL:  
Unplanned Absenteeism 
DL:   Omar Galvan
IDL:  
Other: Kulwant Singh retires August 28. IDL- Alfred Strauch (ERTW Sept-Oct) Chrissi Adams (ERTW end of August)
Arturo Molina Mendez - (ERTW mid-August)</t>
  </si>
  <si>
    <t>237-7/30 238-8/3, 282 - 7/31, 644 - 7/30</t>
  </si>
  <si>
    <t>510 - 8/24 511 - 8/24</t>
  </si>
  <si>
    <t xml:space="preserve">Direct Labor - Arturo Molina - ABS - RTW TBD - Omar called off - Family emergency
Indirect Labor - Alfred S - Non-work related medical RTW -Chrissy A - Non-work related medical - Diego Garcia - Attending training all week .
Open GL position -  Hand MIG weld
Auto - 8 hours
Die Set - 8 hours - 
Weld area - 8 hours
W507 Hand MIG - 8 hours
CNC - 8 hours
Pack area -  hours - 
Assembly - 8 hours 
Line Die -  8 hours -</t>
  </si>
  <si>
    <t>PA114 - Fan Fault - W513 C/O W514 Faults - W516 Adjustments for stampings.</t>
  </si>
  <si>
    <t>P108</t>
  </si>
  <si>
    <t>W513 and W515 C/O</t>
  </si>
  <si>
    <t xml:space="preserve">Auto area - P100  C5142/43 - 6K run completed - Reviewing
P102 - C5122 - 8K run completed
P106 -  C47054/64722 - In Die set
P108    C5153 - Running
P109   C9224 - 12K of 18K run completed - Out of steel - Balance of steel past due - Team engaged
P112   C1010/1011 - Steel delivery past due - Team engaged
P114  C44897/64738 - Running
P115   C9287 - Running
P116   C32626 - Running as needed
Line Die - No major concerns
PS202  - 3388-30 - Run completed
PS205  - GM610 - 84509133 - Not scheduled
PS209  -  5122-0-10 - FPA obtained - Ready to run
PS218  - 5126-6-10/20- Not scheduled
PS219  - 5133-0-10-  Running
Weld area - Welder 514- First phase of repair completed - Remainder of replacement parts delivered - Unable to schedule repairs due to resources pulled to assist at EAP and 10 mile - Looking to schedule week of 07/27 when Diego returns from Training
 CNC -   5816-20 - Running 
  W05-   5128-7-10 - Not scheduled
W507 -   5128-7-10 - Did not run - No Operator
W513 -   20019-10 - Running
W514 -  69573-10- Currently running 
W515 -  3388-10 - Running
W516 - 5816-10  - Adjustments due to stampings - currently passing check fixture - Monitoring
Assembly - 
 A886 - 23186613  - Scheduled week of 08/03 - 23186614 - Scheduled week of 08/03
A500 -  C20001011 - Run completed
A838 - 22934282 - Running  - A839 - 84141644 - Not scheduled -  A837- 15150237 - scheduled 07/22
610 E , F , G -  610F - 20814566- completed- 610G 15837340- completed-  610E 20814567- Run completed
A891 - running  A892 - 6059-10 - Running- 6060-10 - Running
A893 - A894 - A889 - A890 - Run completed
MAN - 4615-3 - Not scheduled</t>
  </si>
  <si>
    <t>P108 C5153 Short feed Mishit - No Tool Damage  Die protection was not on - Incident report to follow</t>
  </si>
  <si>
    <t xml:space="preserve">C5126 forms.  Waiting on Leroy
C6219 punches and buttons installed.  Welded and machined low area under stripper window for punch cluster Continuing on pm 
C2235/2236 is in for a pm.  Slot hole
Making  a restrike die for C5152 parts 
Scott     Scheduled  9 hours   Unscheduled  0 hours
 Nick     Scheduled  8 hours   Unscheduled 0 hours</t>
  </si>
  <si>
    <t xml:space="preserve">pm's on welders: still need to do welder 514.
change over on welder 515 &amp; 513.  
Diego at KUKA robotic training all week.</t>
  </si>
  <si>
    <t>GAP Daily Update - Wednesday 7.22.26 - Submitted to Executive Team by 5 pm</t>
  </si>
  <si>
    <t>059-11/9, 060-12/14 679-3/1/27</t>
  </si>
  <si>
    <t>9/28</t>
  </si>
  <si>
    <t>7/31</t>
  </si>
  <si>
    <t>193-8/5 199-8/5</t>
  </si>
  <si>
    <t>JL-8/4-J9-7/28</t>
  </si>
  <si>
    <t xml:space="preserve">Direct Labor - Arturo Molina - ABS - RTW TBD - Omar called off - Family emergency RTW TBD
Indirect Labor - Alfred S - Non-work related medical RTW -Chrissy A - Non-work related medical - Diego Garcia - Attending training all week .
Open GL position -  Hand MIG weld
Auto - 8 hours
Die Set - 8 hours - 
Weld area - 8 hours
W507 Hand MIG - 8 hours
CNC - 8 hours
Pack area -  hours - 
Assembly - 8 hours 
Line Die -  8 hours -</t>
  </si>
  <si>
    <t>PA106 - Drive overheating - No Timing CNC - .45 Broken cutter - W514 Robot stuck in reamer - Fork sticking - Down 2 hours - W516 Adjustments due to stampings feeler check out</t>
  </si>
  <si>
    <t>P115 lower trim 1.12 hours</t>
  </si>
  <si>
    <t xml:space="preserve">Auto area - P106 Down drive fault  - Team engagedP100  C5142/43 - 6K run completed - Increased run to finish coil - C199AA - Going in next
P102 - C5122 - 8K run completed - C30572 - Going in next
P106 -  C47054/64722 - Down - Drive issue - Team has reached out for support No Timing
P108    C5153 - 7K run completed - C2217 - Going in next
P109   C9224 - 12K of 18K run completed - Out of steel - Balance of steel past due - Team engaged
P112   C1010/1011 - Steel delivered late afternoon - Need FPA
P114  C44897/64738 - 12K run completed - Running 08/05 run
P115   C9287 - Running
P116   C32626 - Running as needed
Line Die - No major concerns
PS202  - 3388-30 - Running
PS205  - GM610 - 84509133 - Not scheduled
PS209  -  5122-0-10 - Running
PS218  - 5126-6-10/20- Not scheduled
PS219  - 5133-0-10-  Running
Weld area - Welder 514- First phase of repair completed - Remainder of replacement parts delivered - Unable to schedule repairs due to resources pulled to assist at EAP and 10 mile - Looking to schedule week of 07/27 when Diego returns from Training
 CNC -   5816-20 - Running 
  W05-   5128-7-10 - Not scheduled
W507 -   5128-7-10 - Did not run - No Operator
W513 -   20019-10 - Running
W514 -  69573-10- Currently running 
W515 -  3388-10 - Running
W516 - 5816-10  - Adjustments due to stampings - currently passing check fixture - Monitoring
Assembly - 
 A886 - 23186613  - Scheduled week of 08/03 - 23186614 - Scheduled week of 08/03
A500 -  C20001011 - Run completed
A838 - 22934282 - Running  - A839 - 84141644 - Not scheduled -  A837- 15150237 - scheduled 07/22
610 E , F , G -  610F - 20814566- completed- 610G 15837340- completed-  610E 20814567- Run completed
A891 - running  A892 - 6059-10 - Running- 6060-10 - Running
A893 - A894 - A889 - A890 - Run completed
MAN - 4615-3 - Not scheduled</t>
  </si>
  <si>
    <t xml:space="preserve">Floor scrubber needed to maintain clean floors - Repairs completed - Need to prove out repairs - John W working on training plan for operating along with daily maintenance for scrubber
Housekeeping projects - None
EOS Daily housekeeping - Completed</t>
  </si>
  <si>
    <t xml:space="preserve">C5126 forms.  Waiting on Leroy
C6219 pm is complete. Installed new shoulder punches and buttons. Welded and machined low area on stripper under window. Added 3rd screw to window. Sharpened where needed
C2235/2236 is in for a pm.  Continuing on pm and will finish tomorrow
C287 had a split lower trim causing a burr. Swapped out with a used spare and the die is back running.   There is a burn block ready to go to Last Word for a new detail to replace.   Leroy is working on it
We will need more Sandblaster sand and a new vacuuum for Friday rework. 
Scott     Scheduled  8 hours   Unscheduled  1 hours
 Nick     Scheduled  7 hours   Unscheduled 1 hours</t>
  </si>
  <si>
    <t xml:space="preserve">pm's on welder 514 complete. 
pm's on hilo's started</t>
  </si>
  <si>
    <t>GAP Daily Update - Thursday 7.23.26 - Submitted to Executive Team by 5 pm</t>
  </si>
  <si>
    <t>237-8/6 238-8/12, 282 - 8/17, 644 - 8/14</t>
  </si>
  <si>
    <t>340-8/24, 566-9/7, 567-8/31</t>
  </si>
  <si>
    <t>133-8/31</t>
  </si>
  <si>
    <t>8/5</t>
  </si>
  <si>
    <t>020-8/24, 027-9/7</t>
  </si>
  <si>
    <t>JL-8/4-J9-7/30</t>
  </si>
  <si>
    <t xml:space="preserve"> PA106 - Drive Fault -- Outside support scheduled 07/24 - A838 Down 2 hours - W514 Down 1 hour - Burn through - W516 Down 6 hours - Adjusting for stamping issue - W515 - Wire change </t>
  </si>
  <si>
    <t>P112 - Finished D/C, FPA - PS209 D/C - P108 - D/C - P100 Pulled die , start D/C</t>
  </si>
  <si>
    <t>A837 - W513 C/O - W515 C/O</t>
  </si>
  <si>
    <t xml:space="preserve">Auto area - P106 Down drive fault  - Team engaged - Outside support scheduled 07/24P100  C5142/43 - 9K run completed - C199AA - In die set
P102 - C5122 - 8K run completed - C30572 - Going in next
P106 -  C47054/64722 - Down - Drive issue - Team has reached out for support No Timing
P108 -  C2217 - FPA obtained - Ready to run
P109   C9224 - 12K of 18K run completed - Out of steel - Steel due in 07/29
P112   C1010/1011 - Running
P114  C44897/64738 - Running
P115   C9287 - Running 
P116   C32626 - Running as needed
Line Die - No major concerns
PS202  - 3388-30 - Run completed
PS205  - GM610 - 84509133 - Not scheduled
PS209  -  5122-0-10 - 3K run completed
PS218  - 5126-6-10/20- Not scheduled
PS219  - 5133-0-10-  6K run completed
Weld area - Welder 514- First phase of repair completed - Remainder of replacement parts delivered - Unable to schedule repairs due to resources pulled to assist at EAP and 10 mile - Looking to schedule week of 07/27 when Diego returns from Training
 CNC -   5816-20 - Running 
  W05-   5128-7-10 - Not scheduled
W507 -   5128-7-10 - Did not run - No Operator
W513 -   20019-10 - Running
W514 -  69573-10- Currently running 
W515 -  3388-10 - Running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completed- 610G 15837340- completed-  610E 20814567- Run completed
A891 - running  A892 - 6059-10 - Run completed- 6060-10 - Run completed
A893 - A894 - A889 - A890 - Run completed
MAN - 4615-3 - Not scheduled</t>
  </si>
  <si>
    <t xml:space="preserve">P112 - Finished D/C , FPA
P108 Die change
PS209 Die change
P100 - Pulled die cleaned bolster - Start D/C</t>
  </si>
  <si>
    <t xml:space="preserve">C5126 forms.  Waiting on Leroy
C2235/2236 pm is complete
C5813/8449 was brought in for a pm
C5812 was brought in for a pm 
Scott     Scheduled  6 hours   Unscheduled  0 hours
 Nick     Scheduled  8 hours   Unscheduled  0 hours</t>
  </si>
  <si>
    <t xml:space="preserve">pm's on line die presses complete. 
pm's on automation machines started.</t>
  </si>
  <si>
    <t>GAP Daily Update - Friday 7.24.26 - Submitted to Executive Team by 5 pm</t>
  </si>
  <si>
    <t xml:space="preserve">2026 Q3 DL Requirement:  24
New Hires: 
Staff Changes:  
Total GAP Employees MINUS LOA: 
DL: 22
IDL: 9
Total Present:  
DL = 22
IDL = 9
Planned Absenteeism (Adv notice/approval):
DL: 
IDL:  
Unplanned Absenteeism 
DL:   
IDL:  
Other: Kulwant Singh retires August 28. IDL- Alfred Strauch (ERTW Sept-Oct) Chrissi Adams (ERTW end of August)
Arturo Molina Mendez - (ERTW mid-August)</t>
  </si>
  <si>
    <t>8/13</t>
  </si>
  <si>
    <t>No issues, MST delivered 44k lbs of R69224</t>
  </si>
  <si>
    <t xml:space="preserve">Rework pedals
Scott     Scheduled  8 hours   Unscheduled  0 hours
 Nick     Scheduled  8 hours   Unscheduled  0 hours</t>
  </si>
  <si>
    <t>pm's on auto presses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</si>
</sst>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91</v>
      </c>
      <c r="I81" s="82"/>
      <c r="J81" s="82"/>
      <c r="K81" s="82"/>
      <c r="L81" s="82"/>
      <c r="M81" s="82"/>
      <c r="N81" s="82"/>
      <c r="O81" s="82"/>
      <c r="P81" s="82"/>
    </row>
    <row r="82" ht="22.7" customHeight="1" spans="1:16" x14ac:dyDescent="0.25">
      <c r="A82" s="67"/>
      <c r="B82" s="68"/>
      <c r="C82" s="68"/>
      <c r="D82" s="69"/>
      <c r="E82" s="77"/>
      <c r="F82" s="84"/>
      <c r="G82" s="79"/>
      <c r="H82" s="82" t="s">
        <v>92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94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111</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113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114</v>
      </c>
      <c r="I79" s="80"/>
      <c r="J79" s="80"/>
      <c r="K79" s="80"/>
      <c r="L79" s="80"/>
      <c r="M79" s="80"/>
      <c r="N79" s="80"/>
      <c r="O79" s="80"/>
      <c r="P79" s="80"/>
    </row>
    <row r="80" ht="22.7" customHeight="1" spans="1:16" x14ac:dyDescent="0.25">
      <c r="A80" s="67"/>
      <c r="B80" s="68"/>
      <c r="C80" s="68"/>
      <c r="D80" s="69"/>
      <c r="E80" s="81"/>
      <c r="F80" s="61"/>
      <c r="G80" s="79"/>
      <c r="H80" s="82" t="s">
        <v>115</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116</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117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8" t="s">
        <v>79</v>
      </c>
      <c r="E102" s="46" t="s">
        <v>118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119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120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122</v>
      </c>
      <c r="I39" s="26"/>
      <c r="J39" s="26"/>
      <c r="K39" s="26"/>
      <c r="L39" s="26"/>
      <c r="M39" s="26"/>
      <c r="N39" s="26"/>
      <c r="O39" s="26"/>
      <c r="P39" s="26"/>
    </row>
    <row r="40" ht="22.7" customHeight="1" spans="1:16" x14ac:dyDescent="0.25">
      <c r="A40" s="17"/>
      <c r="B40" s="7"/>
      <c r="C40" s="7"/>
      <c r="D40" s="27" t="s">
        <v>8</v>
      </c>
      <c r="E40" s="30" t="s">
        <v>27</v>
      </c>
      <c r="F40" s="31" t="s">
        <v>28</v>
      </c>
      <c r="G40" s="25">
        <v>4</v>
      </c>
      <c r="H40" s="32" t="s">
        <v>111</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123</v>
      </c>
      <c r="I48" s="26"/>
      <c r="J48" s="26"/>
      <c r="K48" s="26"/>
      <c r="L48" s="26"/>
      <c r="M48" s="26"/>
      <c r="N48" s="26"/>
      <c r="O48" s="26"/>
      <c r="P48" s="26"/>
    </row>
    <row r="49" ht="22.7" customHeight="1" spans="1:16" x14ac:dyDescent="0.25">
      <c r="A49" s="17"/>
      <c r="B49" s="7"/>
      <c r="C49" s="7"/>
      <c r="D49" s="27" t="s">
        <v>8</v>
      </c>
      <c r="E49" s="35" t="s">
        <v>49</v>
      </c>
      <c r="F49" s="36" t="s">
        <v>50</v>
      </c>
      <c r="G49" s="24">
        <v>1</v>
      </c>
      <c r="H49" s="26" t="s">
        <v>124</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125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126</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127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0.72</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v>
      </c>
      <c r="G74" s="64"/>
      <c r="H74" s="64"/>
      <c r="I74" s="64"/>
      <c r="J74" s="64"/>
      <c r="K74" s="64"/>
      <c r="L74" s="64"/>
      <c r="M74" s="64"/>
      <c r="N74" s="64"/>
      <c r="O74" s="64"/>
      <c r="P74" s="64"/>
    </row>
    <row r="75" ht="27.6" customHeight="1" spans="1:16" x14ac:dyDescent="0.25">
      <c r="A75" s="50"/>
      <c r="B75" s="51"/>
      <c r="C75" s="51"/>
      <c r="D75" s="56"/>
      <c r="E75" s="65"/>
      <c r="F75" s="58">
        <v>0.85</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128</v>
      </c>
      <c r="I79" s="80"/>
      <c r="J79" s="80"/>
      <c r="K79" s="80"/>
      <c r="L79" s="80"/>
      <c r="M79" s="80"/>
      <c r="N79" s="80"/>
      <c r="O79" s="80"/>
      <c r="P79" s="80"/>
    </row>
    <row r="80" ht="22.7" customHeight="1" spans="1:16" x14ac:dyDescent="0.25">
      <c r="A80" s="67"/>
      <c r="B80" s="68"/>
      <c r="C80" s="68"/>
      <c r="D80" s="69"/>
      <c r="E80" s="81"/>
      <c r="F80" s="61"/>
      <c r="G80" s="79"/>
      <c r="H80" s="82" t="s">
        <v>129</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116</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130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131</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132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133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122</v>
      </c>
      <c r="I39" s="26"/>
      <c r="J39" s="26"/>
      <c r="K39" s="26"/>
      <c r="L39" s="26"/>
      <c r="M39" s="26"/>
      <c r="N39" s="26"/>
      <c r="O39" s="26"/>
      <c r="P39" s="26"/>
    </row>
    <row r="40" ht="22.7" customHeight="1" spans="1:16" x14ac:dyDescent="0.25">
      <c r="A40" s="17"/>
      <c r="B40" s="7"/>
      <c r="C40" s="7"/>
      <c r="D40" s="27" t="s">
        <v>8</v>
      </c>
      <c r="E40" s="30" t="s">
        <v>27</v>
      </c>
      <c r="F40" s="31" t="s">
        <v>28</v>
      </c>
      <c r="G40" s="25">
        <v>4</v>
      </c>
      <c r="H40" s="32" t="s">
        <v>135</v>
      </c>
      <c r="I40" s="32"/>
      <c r="J40" s="32"/>
      <c r="K40" s="32"/>
      <c r="L40" s="32"/>
      <c r="M40" s="32"/>
      <c r="N40" s="32"/>
      <c r="O40" s="32"/>
      <c r="P40" s="32"/>
    </row>
    <row r="41" ht="22.7" customHeight="1" spans="1:16" x14ac:dyDescent="0.25">
      <c r="A41" s="17"/>
      <c r="B41" s="7"/>
      <c r="C41" s="7"/>
      <c r="D41" s="27" t="s">
        <v>8</v>
      </c>
      <c r="E41" s="30"/>
      <c r="F41" s="31" t="s">
        <v>30</v>
      </c>
      <c r="G41" s="25">
        <v>3</v>
      </c>
      <c r="H41" s="26" t="s">
        <v>136</v>
      </c>
      <c r="I41" s="26"/>
      <c r="J41" s="26"/>
      <c r="K41" s="26"/>
      <c r="L41" s="26"/>
      <c r="M41" s="26"/>
      <c r="N41" s="26"/>
      <c r="O41" s="26"/>
      <c r="P41" s="26"/>
    </row>
    <row r="42" ht="22.7" customHeight="1" spans="1:16" x14ac:dyDescent="0.25">
      <c r="A42" s="17"/>
      <c r="B42" s="7"/>
      <c r="C42" s="7"/>
      <c r="D42" s="27" t="s">
        <v>8</v>
      </c>
      <c r="E42" s="30"/>
      <c r="F42" s="31" t="s">
        <v>32</v>
      </c>
      <c r="G42" s="25">
        <v>1</v>
      </c>
      <c r="H42" s="33" t="s">
        <v>137</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123</v>
      </c>
      <c r="I48" s="26"/>
      <c r="J48" s="26"/>
      <c r="K48" s="26"/>
      <c r="L48" s="26"/>
      <c r="M48" s="26"/>
      <c r="N48" s="26"/>
      <c r="O48" s="26"/>
      <c r="P48" s="26"/>
    </row>
    <row r="49" ht="22.7" customHeight="1" spans="1:16" x14ac:dyDescent="0.25">
      <c r="A49" s="17"/>
      <c r="B49" s="7"/>
      <c r="C49" s="7"/>
      <c r="D49" s="27" t="s">
        <v>8</v>
      </c>
      <c r="E49" s="35" t="s">
        <v>49</v>
      </c>
      <c r="F49" s="36" t="s">
        <v>50</v>
      </c>
      <c r="G49" s="24">
        <v>1</v>
      </c>
      <c r="H49" s="26" t="s">
        <v>124</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125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139</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140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127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0.77</v>
      </c>
      <c r="G72" s="59"/>
      <c r="H72" s="59"/>
      <c r="I72" s="59"/>
      <c r="J72" s="59"/>
      <c r="K72" s="59"/>
      <c r="L72" s="59"/>
      <c r="M72" s="59"/>
      <c r="N72" s="59"/>
      <c r="O72" s="59"/>
      <c r="P72" s="59"/>
    </row>
    <row r="73" ht="27.95" customHeight="1" spans="1:16" x14ac:dyDescent="0.25">
      <c r="A73" s="50"/>
      <c r="B73" s="51"/>
      <c r="C73" s="51"/>
      <c r="D73" s="60"/>
      <c r="E73" s="61"/>
      <c r="F73" s="58">
        <v>0.94</v>
      </c>
      <c r="G73" s="62"/>
      <c r="H73" s="62"/>
      <c r="I73" s="62"/>
      <c r="J73" s="62"/>
      <c r="K73" s="62"/>
      <c r="L73" s="62"/>
      <c r="M73" s="62"/>
      <c r="N73" s="62"/>
      <c r="O73" s="62"/>
      <c r="P73" s="62"/>
    </row>
    <row r="74" ht="27.6" customHeight="1" spans="1:16" x14ac:dyDescent="0.25">
      <c r="A74" s="50"/>
      <c r="B74" s="51"/>
      <c r="C74" s="51"/>
      <c r="D74" s="63"/>
      <c r="E74" s="61"/>
      <c r="F74" s="58">
        <v>0.89</v>
      </c>
      <c r="G74" s="64"/>
      <c r="H74" s="64"/>
      <c r="I74" s="64"/>
      <c r="J74" s="64"/>
      <c r="K74" s="64"/>
      <c r="L74" s="64"/>
      <c r="M74" s="64"/>
      <c r="N74" s="64"/>
      <c r="O74" s="64"/>
      <c r="P74" s="64"/>
    </row>
    <row r="75" ht="27.6" customHeight="1" spans="1:16" x14ac:dyDescent="0.25">
      <c r="A75" s="50"/>
      <c r="B75" s="51"/>
      <c r="C75" s="51"/>
      <c r="D75" s="56"/>
      <c r="E75" s="65"/>
      <c r="F75" s="58">
        <v>0.74</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142</v>
      </c>
      <c r="I81" s="82"/>
      <c r="J81" s="82"/>
      <c r="K81" s="82"/>
      <c r="L81" s="82"/>
      <c r="M81" s="82"/>
      <c r="N81" s="82"/>
      <c r="O81" s="82"/>
      <c r="P81" s="82"/>
    </row>
    <row r="82" ht="22.7" customHeight="1" spans="1:16" x14ac:dyDescent="0.25">
      <c r="A82" s="67"/>
      <c r="B82" s="68"/>
      <c r="C82" s="68"/>
      <c r="D82" s="69"/>
      <c r="E82" s="77"/>
      <c r="F82" s="84"/>
      <c r="G82" s="79"/>
      <c r="H82" s="82" t="s">
        <v>143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144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131</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145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146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122</v>
      </c>
      <c r="I39" s="26"/>
      <c r="J39" s="26"/>
      <c r="K39" s="26"/>
      <c r="L39" s="26"/>
      <c r="M39" s="26"/>
      <c r="N39" s="26"/>
      <c r="O39" s="26"/>
      <c r="P39" s="26"/>
    </row>
    <row r="40" ht="22.7" customHeight="1" spans="1:16" x14ac:dyDescent="0.25">
      <c r="A40" s="17"/>
      <c r="B40" s="7"/>
      <c r="C40" s="7"/>
      <c r="D40" s="27" t="s">
        <v>8</v>
      </c>
      <c r="E40" s="30" t="s">
        <v>27</v>
      </c>
      <c r="F40" s="31" t="s">
        <v>28</v>
      </c>
      <c r="G40" s="25">
        <v>4</v>
      </c>
      <c r="H40" s="32" t="s">
        <v>135</v>
      </c>
      <c r="I40" s="32"/>
      <c r="J40" s="32"/>
      <c r="K40" s="32"/>
      <c r="L40" s="32"/>
      <c r="M40" s="32"/>
      <c r="N40" s="32"/>
      <c r="O40" s="32"/>
      <c r="P40" s="32"/>
    </row>
    <row r="41" ht="22.7" customHeight="1" spans="1:16" x14ac:dyDescent="0.25">
      <c r="A41" s="17"/>
      <c r="B41" s="7"/>
      <c r="C41" s="7"/>
      <c r="D41" s="27" t="s">
        <v>8</v>
      </c>
      <c r="E41" s="30"/>
      <c r="F41" s="31" t="s">
        <v>30</v>
      </c>
      <c r="G41" s="25">
        <v>3</v>
      </c>
      <c r="H41" s="26" t="s">
        <v>136</v>
      </c>
      <c r="I41" s="26"/>
      <c r="J41" s="26"/>
      <c r="K41" s="26"/>
      <c r="L41" s="26"/>
      <c r="M41" s="26"/>
      <c r="N41" s="26"/>
      <c r="O41" s="26"/>
      <c r="P41" s="26"/>
    </row>
    <row r="42" ht="22.7" customHeight="1" spans="1:16" x14ac:dyDescent="0.25">
      <c r="A42" s="17"/>
      <c r="B42" s="7"/>
      <c r="C42" s="7"/>
      <c r="D42" s="27" t="s">
        <v>8</v>
      </c>
      <c r="E42" s="30"/>
      <c r="F42" s="31" t="s">
        <v>32</v>
      </c>
      <c r="G42" s="25">
        <v>1</v>
      </c>
      <c r="H42" s="33" t="s">
        <v>137</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123</v>
      </c>
      <c r="I48" s="26"/>
      <c r="J48" s="26"/>
      <c r="K48" s="26"/>
      <c r="L48" s="26"/>
      <c r="M48" s="26"/>
      <c r="N48" s="26"/>
      <c r="O48" s="26"/>
      <c r="P48" s="26"/>
    </row>
    <row r="49" ht="22.7" customHeight="1" spans="1:16" x14ac:dyDescent="0.25">
      <c r="A49" s="17"/>
      <c r="B49" s="7"/>
      <c r="C49" s="7"/>
      <c r="D49" s="27" t="s">
        <v>8</v>
      </c>
      <c r="E49" s="35" t="s">
        <v>49</v>
      </c>
      <c r="F49" s="36" t="s">
        <v>50</v>
      </c>
      <c r="G49" s="24">
        <v>1</v>
      </c>
      <c r="H49" s="26" t="s">
        <v>124</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125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139</v>
      </c>
      <c r="I53" s="26"/>
      <c r="J53" s="26"/>
      <c r="K53" s="26"/>
      <c r="L53" s="26"/>
      <c r="M53" s="26"/>
      <c r="N53" s="26"/>
      <c r="O53" s="26"/>
      <c r="P53" s="26"/>
    </row>
    <row r="54" ht="22.7" customHeight="1" spans="1:16" x14ac:dyDescent="0.25">
      <c r="A54" s="17"/>
      <c r="B54" s="7"/>
      <c r="C54" s="7"/>
      <c r="D54" s="27" t="s">
        <v>8</v>
      </c>
      <c r="E54" s="38" t="s">
        <v>62</v>
      </c>
      <c r="F54" s="24" t="s">
        <v>63</v>
      </c>
      <c r="G54" s="24">
        <v>2</v>
      </c>
      <c r="H54" s="39" t="s">
        <v>150</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140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151</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9" t="s">
        <v>127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0.77</v>
      </c>
      <c r="G72" s="59"/>
      <c r="H72" s="59"/>
      <c r="I72" s="59"/>
      <c r="J72" s="59"/>
      <c r="K72" s="59"/>
      <c r="L72" s="59"/>
      <c r="M72" s="59"/>
      <c r="N72" s="59"/>
      <c r="O72" s="59"/>
      <c r="P72" s="59"/>
    </row>
    <row r="73" ht="27.95" customHeight="1" spans="1:16" x14ac:dyDescent="0.25">
      <c r="A73" s="50"/>
      <c r="B73" s="51"/>
      <c r="C73" s="51"/>
      <c r="D73" s="60"/>
      <c r="E73" s="61"/>
      <c r="F73" s="58">
        <v>0.94</v>
      </c>
      <c r="G73" s="62"/>
      <c r="H73" s="62"/>
      <c r="I73" s="62"/>
      <c r="J73" s="62"/>
      <c r="K73" s="62"/>
      <c r="L73" s="62"/>
      <c r="M73" s="62"/>
      <c r="N73" s="62"/>
      <c r="O73" s="62"/>
      <c r="P73" s="62"/>
    </row>
    <row r="74" ht="27.6" customHeight="1" spans="1:16" x14ac:dyDescent="0.25">
      <c r="A74" s="50"/>
      <c r="B74" s="51"/>
      <c r="C74" s="51"/>
      <c r="D74" s="63"/>
      <c r="E74" s="61"/>
      <c r="F74" s="58">
        <v>0.89</v>
      </c>
      <c r="G74" s="64"/>
      <c r="H74" s="64"/>
      <c r="I74" s="64"/>
      <c r="J74" s="64"/>
      <c r="K74" s="64"/>
      <c r="L74" s="64"/>
      <c r="M74" s="64"/>
      <c r="N74" s="64"/>
      <c r="O74" s="64"/>
      <c r="P74" s="64"/>
    </row>
    <row r="75" ht="27.6" customHeight="1" spans="1:16" x14ac:dyDescent="0.25">
      <c r="A75" s="50"/>
      <c r="B75" s="51"/>
      <c r="C75" s="51"/>
      <c r="D75" s="56"/>
      <c r="E75" s="65"/>
      <c r="F75" s="58">
        <v>0.74</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142</v>
      </c>
      <c r="I81" s="82"/>
      <c r="J81" s="82"/>
      <c r="K81" s="82"/>
      <c r="L81" s="82"/>
      <c r="M81" s="82"/>
      <c r="N81" s="82"/>
      <c r="O81" s="82"/>
      <c r="P81" s="82"/>
    </row>
    <row r="82" ht="22.7" customHeight="1" spans="1:16" x14ac:dyDescent="0.25">
      <c r="A82" s="67"/>
      <c r="B82" s="68"/>
      <c r="C82" s="68"/>
      <c r="D82" s="69"/>
      <c r="E82" s="77"/>
      <c r="F82" s="84"/>
      <c r="G82" s="79"/>
      <c r="H82" s="82" t="s">
        <v>143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93</v>
      </c>
      <c r="C84" s="7"/>
      <c r="D84" s="88" t="s">
        <v>79</v>
      </c>
      <c r="E84" s="89" t="s">
        <v>144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131</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145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152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153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7.20.26</vt:lpstr>
      <vt:lpstr>Tuesday 7.21.26</vt:lpstr>
      <vt:lpstr>Wednesday 7.22.26</vt:lpstr>
      <vt:lpstr>Thursday 7.23.26</vt:lpstr>
      <vt:lpstr>Friday 7.24.26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