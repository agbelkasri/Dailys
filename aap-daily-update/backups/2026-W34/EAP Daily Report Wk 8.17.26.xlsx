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17.26" state="visible" r:id="rId4"/>
    <sheet sheetId="2" name="Tuesday 8.18.26" state="visible" r:id="rId5"/>
    <sheet sheetId="3" name="Wednesday 8.19.26" state="visible" r:id="rId6"/>
    <sheet sheetId="4" name="Thursday 8.20.26" state="visible" r:id="rId7"/>
    <sheet sheetId="5" name="Friday 8.21.26" state="visible" r:id="rId8"/>
  </sheets>
  <calcPr calcId="171027"/>
</workbook>
</file>

<file path=xl/sharedStrings.xml><?xml version="1.0" encoding="utf-8"?>
<sst xmlns="http://schemas.openxmlformats.org/spreadsheetml/2006/main" count="758" uniqueCount="179">
  <si>
    <t xml:space="preserve">Email daily to:  Rav Sandhu, Sherree Martin,  Ron Scott, Adrian Silva, Yvonne Rodriguez, Kofi Oduro, Melissa Gardynik; Scott Jones
Email report daily at 5 pm.</t>
  </si>
  <si>
    <t>EAP Daily Update - Monday 8.17.26 -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</si>
  <si>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</si>
  <si>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</si>
  <si>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</si>
  <si>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</si>
  <si>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</si>
  <si>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</si>
  <si>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</si>
  <si>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</si>
  <si>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New Hire:  
Total EAP Employees minus LOA                                          
DL:  38         (1st -25  - 2nd 13)  
DL: PT - 1      2nd shift - Desmond Brown T-F (13-16 hrs.)                                                                                        IDL PT - 1     2nd shift - James Clement M - F (16-20 hrs.)
IDL:   22       (1st 16 - 2nd 6)
Total Present:
DL =  1st - 24,  2nd - 13
DL PT = 1                                                                                                                                                                                                                                                           IDL PT = 1
IDL = 21
Planned Absenteeism:
DL:  1st shift: 
IDL:  1st shift:  
DL: 2nd Shift:  
IDL: 2nd Shift:  
Unplanned Absenteeism (call off/leave early):
DL 1st shift - Bob Kutz
IDL 1st Shift - Bob Bunzelak
DL 2nd Shift - 
IDL 2nd Shift:  
Other:  LOA -DL -Jerry Weick (ERTW September - December) Merritt Higgins (TBD)</t>
  </si>
  <si>
    <t>Current Year Program EOP</t>
  </si>
  <si>
    <t xml:space="preserve">Guelph RDX - April 2026
GM A2SL (CT4) - June 2026</t>
  </si>
  <si>
    <t>Michelle</t>
  </si>
  <si>
    <t>Prem. Freight / Customer Notes</t>
  </si>
  <si>
    <t>No premium freight.</t>
  </si>
  <si>
    <t>On Time Delivery</t>
  </si>
  <si>
    <t>Y</t>
  </si>
  <si>
    <t xml:space="preserve">Metalsa: 
050372 in setup at PA119 - 3:30pm. Just received empties on Thursday evening. Will ship full tomorrow.</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</si>
  <si>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</si>
  <si>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</si>
  <si>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</si>
  <si>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</si>
  <si>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</si>
  <si>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</si>
  <si>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 xml:space="preserve">Inventory coverage until 8/20 
55642 returning from PCII Tuesday AM, then PW17.</t>
  </si>
  <si>
    <t>Adient - Lakewood</t>
  </si>
  <si>
    <t xml:space="preserve">Inventory coverage until 8/20
64748 shipping to Jackson tomorrow AM. </t>
  </si>
  <si>
    <t>Inventory coverage until 8/25</t>
  </si>
  <si>
    <t>GM - BWLGRN</t>
  </si>
  <si>
    <t xml:space="preserve">Inventory coverage until 8/20 
76391 next in PA4.</t>
  </si>
  <si>
    <t>C1UL</t>
  </si>
  <si>
    <t>Inventory coverage until 8/31</t>
  </si>
  <si>
    <t>Y1XX</t>
  </si>
  <si>
    <t>Inventory coverage until 2/1/2027</t>
  </si>
  <si>
    <t>GM-Factory Zero</t>
  </si>
  <si>
    <t>BT1TL</t>
  </si>
  <si>
    <t>Inventory coverage until 8/27</t>
  </si>
  <si>
    <t>GM-Wentzville</t>
  </si>
  <si>
    <t>D2UC</t>
  </si>
  <si>
    <t xml:space="preserve">Inventory coverage until 8/20 
61774 next in PA115.</t>
  </si>
  <si>
    <t>GMT610</t>
  </si>
  <si>
    <t>Inventory coverage until 9/4</t>
  </si>
  <si>
    <t xml:space="preserve">Inventory coverage until 8/19
41997/41998 running in SSL tomorrow. </t>
  </si>
  <si>
    <t>GAP</t>
  </si>
  <si>
    <t>WS</t>
  </si>
  <si>
    <t>OP M (HBPO)</t>
  </si>
  <si>
    <t>RU</t>
  </si>
  <si>
    <t>Inventory coverage until 9/1</t>
  </si>
  <si>
    <t>R</t>
  </si>
  <si>
    <t>Metalsa</t>
  </si>
  <si>
    <t>UX71</t>
  </si>
  <si>
    <t xml:space="preserve">Inventory coverage until 8/18 
050372 running in PA119 tonight - received empties Thursday evening. </t>
  </si>
  <si>
    <t>SLP</t>
  </si>
  <si>
    <t>KM EJ</t>
  </si>
  <si>
    <t>Inventory coverage until 9/30</t>
  </si>
  <si>
    <t>Stellantis</t>
  </si>
  <si>
    <t>LB</t>
  </si>
  <si>
    <t>Toyo-Imlay City</t>
  </si>
  <si>
    <t>500B</t>
  </si>
  <si>
    <t xml:space="preserve">Inventory coverage until 8/21
213/263 job 3 in PA115.</t>
  </si>
  <si>
    <t>Toyo-Tennesee</t>
  </si>
  <si>
    <t>L42P</t>
  </si>
  <si>
    <t>Voestalpine</t>
  </si>
  <si>
    <t>G01</t>
  </si>
  <si>
    <t xml:space="preserve">Inventory coverage until 8/19 
307/308 going into PA118 tonight. </t>
  </si>
  <si>
    <t>BR167</t>
  </si>
  <si>
    <t>Inventory coverage until 8/21</t>
  </si>
  <si>
    <t>Michele</t>
  </si>
  <si>
    <t>SERVICE</t>
  </si>
  <si>
    <t xml:space="preserve">84003156 complete for this week's CCA shipment. 
~23429897/23429898 GM Argentina order, waiting on commercial resolution.</t>
  </si>
  <si>
    <t>Jeff Potter</t>
  </si>
  <si>
    <t>Supplier Issues</t>
  </si>
  <si>
    <t>No issues</t>
  </si>
  <si>
    <t>John W</t>
  </si>
  <si>
    <t>Labor / Overtime</t>
  </si>
  <si>
    <t>No overtime (besides toolroom)</t>
  </si>
  <si>
    <t>John W.</t>
  </si>
  <si>
    <t xml:space="preserve">Daily Efficiency
85%&gt; = Green
69-84% = Yellow
69% &lt; = Red</t>
  </si>
  <si>
    <t>Work Center Group</t>
  </si>
  <si>
    <t>%</t>
  </si>
  <si>
    <t>Notes</t>
  </si>
  <si>
    <t>Downtime Analysis</t>
  </si>
  <si>
    <t>TTL Hours</t>
  </si>
  <si>
    <t>Reason Percentage</t>
  </si>
  <si>
    <t>Daily DT</t>
  </si>
  <si>
    <t xml:space="preserve">PA118: hydro overload. 
PA111: coil reel arms.
PW9: low break out. </t>
  </si>
  <si>
    <t>PA4: feeler fail</t>
  </si>
  <si>
    <t xml:space="preserve">2nd shift 8/14:
PA120 - set 724150H13C (1.38hrs)
1st shift 8/17:
PA111 - set C06197 (.91hrs)
PA115 - set C41997 (1.21hrs)</t>
  </si>
  <si>
    <t xml:space="preserve">1st shift 8/17: 
PS10 - set 3948105/3864943 (1hr)</t>
  </si>
  <si>
    <t>Operations Update - Critical Issues</t>
  </si>
  <si>
    <t xml:space="preserve">2nd shift 8/14:   
PA119 - air valve broke on finger (.5hrs)
PA120 - scrap chute broke OP50, lift "C" motor fault x2, scrap build up OP30 (2.55hrs)
1st shift 8/17:
PA120- validating pulled hole (.06hrs)
PA118 - hydraulic overload (.3hrs)
PA111 - lube block fault, issues with the A-arms at the coil reel, and ID support braces (.7hrs)
PA4 - feeler fail (.42hrs)
PW9 - low break out (.53hrs)</t>
  </si>
  <si>
    <t>MFG Mishit Reports</t>
  </si>
  <si>
    <t>None</t>
  </si>
  <si>
    <t>Housekeeping</t>
  </si>
  <si>
    <t xml:space="preserve">Cleaned bathrooms
Cleaned lunch area
Dumped trash
deep cleaned around PA119 and feed line</t>
  </si>
  <si>
    <t>Change Overs</t>
  </si>
  <si>
    <t>Scott</t>
  </si>
  <si>
    <t>TOOLING</t>
  </si>
  <si>
    <t xml:space="preserve">8/17 1ST SHIFT:
C79305/405: 30% - FPM. 8.18 HOURS
85640501: 100% - CLEAR SCRAP HOLE/TRIM BURR. 8.02 HOURS
050372: 100% - STBALIZE LAST OP PART DROP. 5.97 HOURS
C80003/103: 80% - BOLT CHECK/RUN SENSORS. 12.51 HOURS
PRESS CALLS: 
PA4: 3698611 - FEELER FAIL. .2 HOURS. MERLIN LOWERED RAM. 5 WRAPS OF COIL LEFT.
PA120: C15013 - PULLED HOLE. .03 HOURS. TOLD NEVERMIND ITS GOOD. NO WORK DONE. 
PA50: 3919545 - FEELER FAIL. .03 HOURS. TOLD NEVERMIND PART WAS GOOD. NO WORK DONE.
SCHEDULED/UNSCHEDULED:
GREG WEICK: 8.18/0 = 8.18 HOURS
MERLIN TACKETT: 8.02/.2 = 8.22 HOURS
JEFF ROSE: 10.3/0 = 10.3 HOURS
ZACH BRAMIGK: 8.21/0 = 8.21 HOURS
TOOLING DOWNTIME: 0 HOURS
WORKCENTER LOGS: .53 HOURS</t>
  </si>
  <si>
    <t>Diego</t>
  </si>
  <si>
    <t>Maintenance</t>
  </si>
  <si>
    <t xml:space="preserve">PA 111: Lube fault:  Found info on HMI not entered for cycle count. Entered info and fault was gone.  W.O for coil coming off reel: Welded Bracket back on arbor.
PS 66: Investigated smoke from top of press: Found gib valves closed. Open the valves and the smoke dissipated. 
PA 116: Investigated press slowing down during production, found not issues, press ran out parts. 
W-303: Completed Monthly inspection.</t>
  </si>
  <si>
    <t>Yvonne</t>
  </si>
  <si>
    <t>Quality Concerns</t>
  </si>
  <si>
    <t xml:space="preserve">PA120 | 724150H11B | No new issues
PA119 |  | No new issues
PA118 | C93624 | No new issues
PA117 |  | No new issues
PA116 |  | No new issues
PA115 |  | No new issues
PA112 |  | No new issues
PA111 |  | No new issues
PA110 |  | No new issues
PA50 |  | No new issues
SSL | 20007/8-AC | No new issues
Welding |  | No new issues
Customer | 3871159 | Adient Lakewood - Miss-formed part -Sorting complete with MS Companies -113 bad parts found with 8,000 sorted. No parts in-house
Supplier |  | No new issues
Internal |  | No new issues</t>
  </si>
  <si>
    <t>EAP Daily Update - Tuesday 8.18.26 - Submitted to Executive Team by 5 pm</t>
  </si>
  <si>
    <t xml:space="preserve">2026 Q3 DL Requirement: 41
Staffing Changes: 
New Hire:  
Total EAP Employees minus LOA                                          
DL:  38         (1st -25  - 2nd 13)  
DL: PT - 1      2nd shift - Desmond Brown T-F (13-16 hrs.)                                                                                        IDL PT - 1     2nd shift - James Clement M - F (16-20 hrs.)
IDL:   22       (1st 16 - 2nd 6)
Total Present:
DL =  1st - 24,  2nd - 13
DL PT = 1                                                                                                                                                                                                                                                           IDL PT = 1
IDL = 21
Planned Absenteeism:
DL:  1st shift: 
IDL:  1st shift:  
DL: 2nd Shift:  
IDL: 2nd Shift:  
Unplanned Absenteeism (call off/leave early):
DL 1st shift - Bob Kutz, Steve Baughman
IDL 1st Shift - 
DL 2nd Shift - 
IDL 2nd Shift:  
Other:  LOA -DL -Jerry Weick (ERTW September - December) Merritt Higgins (TBD)</t>
  </si>
  <si>
    <t>No shortages</t>
  </si>
  <si>
    <t xml:space="preserve">Inventory coverage until 8/20 
55642 returning from PCII Wednesday AM.</t>
  </si>
  <si>
    <t xml:space="preserve">Inventory coverage until 8/20
64748 out at Jackson Tumble. ETA Thursday AM.</t>
  </si>
  <si>
    <t xml:space="preserve">Inventory coverage until 8/20 
76391 next in PA111, tomorrow morning. </t>
  </si>
  <si>
    <t xml:space="preserve">Inventory coverage until 8/25 
61774 running in PA115.</t>
  </si>
  <si>
    <t>Inventory coverage until 9/2</t>
  </si>
  <si>
    <t xml:space="preserve">Inventory coverage until 8/21
41997/41998 running in SSL (back half tomorrow)</t>
  </si>
  <si>
    <t>Inventory coverage until 8/24</t>
  </si>
  <si>
    <t xml:space="preserve">Inventory coverage until 8/25
050372 running in PA119. </t>
  </si>
  <si>
    <t xml:space="preserve">Inventory coverage until 8/25
06197 running in PA111, will run in PW9 tomorrow. </t>
  </si>
  <si>
    <t xml:space="preserve">Inventory coverage until 8/21
213/263 next in PA115.
148/198 next in PA110.</t>
  </si>
  <si>
    <t xml:space="preserve">Inventory coverage until 8/21
307/308 running in PA118. 
305/306 next in PA118. </t>
  </si>
  <si>
    <t xml:space="preserve">Inventory coverage until 8/21
477 job 2 in PA120. 
476 job 3 in PA120.</t>
  </si>
  <si>
    <t xml:space="preserve">PA110: loose palm button.
PS10: counter not working.
PW27: tip change
WC39: changed pins.
PS66: break monitor fault.</t>
  </si>
  <si>
    <t xml:space="preserve">PA119: feeler fail.
PA115: low button.
PA111: feeler fail.
PA50: part sticking to upper. </t>
  </si>
  <si>
    <t xml:space="preserve">2nd shift 8/17:
PA119 - set 050372 (1.6hrs)
PA118 - set 723307S00B/308 (.91hrs)
1st shift 8/18:
PA120 - set 724150H10B (1.15hrs)
PA115 - set 13461774 (1.25hrs)
PA50 - set 3864569 (.55hrs)</t>
  </si>
  <si>
    <t xml:space="preserve">WC39 - set 17510
WC59 - set 87840104</t>
  </si>
  <si>
    <t xml:space="preserve">2nd shift 8/17:   
PA120 - scrap build up OP30, added nitro, lube fault (.61hrs)
PA119 - die sensor issue, back-up hold down feeder gouging strip x2, feeler fail (2.23hrs)
PA118 - feeder wouldn't go into auto, pilot not opening up x2, pilot not closing (2.81hrs)
1st shift 8/18:
PA119 - light Julian date stamp, feeler fail (1.01hrs)
PA115 - low button (.57hrs)
PA111 - feeler fail (2.63hrs)
PA110 - palm button was loose (.31hrs)
PA50 - parts sticking to the upper (.47hrs)
PS10 - counter wasn't working (.08hrs)
PW27 - tip change (.15hrs)
WC39 - changed pins (.13hrs)
PS66 - brake monitoring fault (.05hrs)</t>
  </si>
  <si>
    <t xml:space="preserve">Cleaned bathrooms
Cleaned lunch area
Dumped trash
Deep cleaned around PA119 and feed line.
Cleaning up oil at PA118 and PA110. 
Cleaned die rack by PA111.</t>
  </si>
  <si>
    <t xml:space="preserve">8/17 2ND SHIFT:
C80003/103: 70% - INITIAL REVIEW. 7.97 HOURS
3989858: 90% - FPM. 10.28 HOURS
PRESS CALLS:
PA120: C15013 - FOLDOVER. .22 HOURS. BO ADDED NITRO.
PA119: 050372 - FEELER FAIL. 2.05 HOURS. BO ADJUSTED LOCATORS IN LAST STATION.
SCHEDULED/UNSCHEDULED:
JESSE DENNIS: 7.97/2.27 = 10.24 HOURS
JOHN GREEN: 10.28/0 = 10.28 HOURS
TOOLING DOWNTIME: 2.27 HOURS
WORKCENTER LOGS: 1.3 HOURS
8/18 1ST SHIFT:
C79305/405: 50% - FPM. 1.37 HOURS
C80003/103: 100% - BOLT CHECK/RUN SENSORS. 22.57 HOURS. GREG, JEFF AND ZACH FINISHED THIS UP.
C00920/01824: 40% - CAM HOLE BURRS. 5.97 HOURS
PRESS CALLS: 
PA119: 050372 - FEELER FAIL. .68 HOURS. GREG ADJUSTED PILOT LOCATORS LAST STATION.
PA50: 3864569 - PARTS STICKING AT CUTOFF. .37 HOURS. MERLIN INCREASED TAPER TO LOWER CUTOFF SO PARTS COULD FALL FREELY.
PA111: C06197 - FEELER FAILS. 2.5 HOURS. MERLIN ADJUSTED FORM INSERTS.
PA115: 13461774 - LOW BUTTON. .4 HOURS. ZACH SHIMMED UP BUTTON.
SCHEDULED/UNSCHEDULED:
GREG WEICK: 7.2/.68 = 7.93 HOURS
MERLIN TACKETT: 5.97/2.42 = 8.39 HOURS
JEFF ROSE: 9.99/.45 = 10.44 HOURS
ZACH BRAMIGK: 6.86/.4 = 7.26 HOURS (1.5 HOURS LATE). 
TOOLING DOWNTIME: 3.95 HOURS
WORKCENTER LOGS: 4.31 HOURS</t>
  </si>
  <si>
    <t xml:space="preserve">PA 118: Feeder issues - raised air pressure on pilot roller. 
PS 66: Oil splashing on operator. Turned down the lube flow for the gibs. 
PM: PA110, PA4, and PA120 feeder.</t>
  </si>
  <si>
    <t xml:space="preserve">PA120 | 724150H11B | No new issues
PA119 |  | No new issues
PA118 | C93624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</si>
  <si>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Wednesday 8.19.26 - Submitted to Executive Team by 5 pm</t>
  </si>
  <si>
    <t xml:space="preserve">2026 Q3 DL Requirement: 41
Staffing Changes: 
New Hire:  
Total EAP Employees minus LOA                                          
DL:  38         (1st -25  - 2nd 13)  
DL: PT - 1      2nd shift - Desmond Brown T-F (13-16 hrs.)                                                                                        IDL PT - 1     2nd shift - James Clement M - F (16-20 hrs.)
IDL:   22       (1st 16 - 2nd 6)
Total Present:
DL =  1st - 20,  2nd - 9
DL PT = 0                                                                                                                                                                                                                                                           IDL PT = 1
IDL = 21
Planned Absenteeism:
DL:  1st shift: 
IDL:  1st shift:  
DL: 2nd Shift:  Clinton Walter
IDL: 2nd Shift:  
Unplanned Absenteeism (call off/leave early):
DL 1st shift - Bob Kutz, Steve Baughman, Sue Bosman, Char Z., Zaki Iskandaron
IDL 1st Shift - 
DL 2nd Shift - Hailey Clement, Malachi Thomas, Savanna Fadel
IDL 2nd Shift:  
Other:  LOA -DL -Jerry Weick (ERTW September - December) Merritt Higgins (TBD)</t>
  </si>
  <si>
    <t xml:space="preserve">Inventory coverage until 8/20 
55642 running in PW17, will ship full tomorrow. </t>
  </si>
  <si>
    <t xml:space="preserve">Inventory coverage until 8/20
64748 returning from Jackson tomorrow morning. Will ship full tomorrow. </t>
  </si>
  <si>
    <t xml:space="preserve">Inventory coverage until 8/20 
76391 running in PA111.
64310 sorting for slug marks. 
Will ship full tomorrow. </t>
  </si>
  <si>
    <t>Inventory coverage until 9/3</t>
  </si>
  <si>
    <t>Inventory coverage until 8/28</t>
  </si>
  <si>
    <t xml:space="preserve">84003156 shipped in full. 
~23429897/23429898 GM Argentina order, waiting on commercial resolution.</t>
  </si>
  <si>
    <t xml:space="preserve">No issues. 
Midwest roundtrip today. 
Jackson roundtrip tomorrow.</t>
  </si>
  <si>
    <t xml:space="preserve">PA119: hydra guard fault. 
WC40: will not cycle. </t>
  </si>
  <si>
    <t xml:space="preserve">PA111: feeler fail
PA4: feeler fail. </t>
  </si>
  <si>
    <t xml:space="preserve">1st shift 8/19:
PA50 - set 3696738 (.97hrs)
PA119 - set new Ford C80003/80103 (4hrs)</t>
  </si>
  <si>
    <t xml:space="preserve">2nd shift 8/18:   
PA120 - lube fault x2, scrap jam OP30 x5, mishit OP30 (2.5)
PA119 - transfer fault but no code x2 (.16hrs)
PA118 - end of coil tape stuck on entrance roll of straightener (.91hrs)
1st shift 8/19:
PA119 - Tooling stabilized last station on 050372. Turned up to 14spm and ran well. Had one fault while running at 15spm but otherwise ran well. Hydra guard faults while setting up Ford die and making hits (.18hrs)
PA111 - feeler fail on C06197 (.51hrs)
PA4 - feeler fail on 3698611, mishit, no damage (.43hrs)
WC40 - robot stopped welding mid cycle, DTEER alarm. Julius investigating. Savannah is off today but will look into it tomorrow if it's still down. (4.63hrs)
All Gill and Magna dies have been pickup up by Pro-V. 
Larraine is speaking with Yazaki about tool pickup.</t>
  </si>
  <si>
    <t xml:space="preserve">2nd shift 8/18
PA120 - Mishit 724150H10B at OP30.
1st shift 8/19:
PA4 - Mishit 3698611.</t>
  </si>
  <si>
    <t xml:space="preserve">Cleaned bathrooms
Cleaned lunch area
Dumped trash
Organizing and palletizing cardboard bales out back.</t>
  </si>
  <si>
    <t xml:space="preserve">8/18 2ND SHIFT:
724150H11B: 100% - POLISH UPPER FORM. 2.55 HOURS
3989858: 100% - FPM. 3.97 HOURS
3864766: 100% - WASH DIE. 1.45 HOURS
C954116/55642: 100% - WASH DIE. 1.45 HOURS
3864310: 20% - FPM. 3.55 HOURS
PRESS CALLS:
PA120: 724151H10B - MISHIT. 2.55 HOURS. BO SHARPENED SLOTTED PIERCE PUNCHES/WELDED AND GROUND IN SLOTTED PIERCE PLATE. REPLACE PIERCE PUNCHES.
SCHEDULED/UNSCHEDULED:
JESSE DENNIS: 7.74/2.55 = 10.29 HOURS
JOHN GREEN: 10.44/0 = 10.44 HOURS
TOOLING DOWNTIME: 2.55 HOURS
WORKCENTER LOGS: 0 HOURS
8/19 1ST SHIFT:
C79305/405: 50% - FPM. 1.37 HOURS
C00920/01824: 40% - CAM HOLE BURRS. 5.97 HOURS
PRESS CALLS: 
SCHEDULED/UNSCHEDULED:
GREG WEICK:  HOURS
MERLIN TACKETT:  HOURS
JEFF ROSE:  HOURS
ZACH BRAMIGK:  
TOOLING DOWNTIME:  HOURS
WORKCENTER LOGS:  HOURS</t>
  </si>
  <si>
    <t xml:space="preserve">PS 92: Brake Monitor Faults: Air was turned off. 
Hand assembly: Not working: Cylinder was loose. 
PS 92: Light curtain faults: Relays inside control box loose. 
PA 119: Hydraguard Faults: Adjusted pressure.</t>
  </si>
  <si>
    <t xml:space="preserve">PA120 | 724150H11B | No new issues
PA119 |  | No new issues
PA118 | C93624 | No new issues
PA117 |  | No new issues
PA116 |  | No new issues
PA115 |  | No new issues
PA112 |  | No new issues
PA111 |  | No new issues
PA110 |  | No new issues
PA50 |  | No new issues
SSL | 20007/8-AC | No new issues
Welding | 85716962 | Cold Welds - 81pcs on hold. - WC40
Customer | 3864310 | Adient Matamoros, Informal as of now. 3rd Party sort requested for 14,283pcs. Sorting Parts internally. Quality Alert E081926 issued.
Supplier |  | No new issues
Internal |  | No new issues</t>
  </si>
  <si>
    <t>EAP Daily Update - Thursday 8.20.26 - Submitted to Executive Team by 5 pm</t>
  </si>
  <si>
    <t xml:space="preserve">2026 Q3 DL Requirement: 41
Staffing Changes: James Clement
New Hire:  
Total EAP Employees minus LOA                                          
DL:  38         (1st -25  - 2nd 13)  
DL: PT - 1      2nd shift - Desmond Brown T-F (13-16 hrs.)                                                                                        
IDL:   22       (1st 16 - 2nd 6)
Total Present:
DL =  1st - 20,  2nd - 11
DL PT = 0                                                                                                                                                                                                                                                           IDL PT = 1
IDL = 21
Planned Absenteeism:
DL:  1st shift: 
IDL:  1st shift:  
DL: 2nd Shift:  Jacob Stanley, Clinton Walter
IDL: 2nd Shift:  
Unplanned Absenteeism (call off/leave early):
DL 1st shift - Steve Baughman, Sue Bosman, Rey Duran, Jason Faulkner, Darnell Steel EO @ 10am
IDL 1st Shift - 
DL 2nd Shift - 
IDL 2nd Shift:  
Other:  LOA -DL -Jerry Weick (ERTW September - December) Merritt Higgins (TBD)</t>
  </si>
  <si>
    <t>Inventory coverage until 9/15</t>
  </si>
  <si>
    <t xml:space="preserve">Inventory coverage until 8/21
148/198 running in PA110 tonight. 
213/263 running in PA115 tonight. </t>
  </si>
  <si>
    <t xml:space="preserve">Inventory coverage until 8/27
305/306 running in PA118.</t>
  </si>
  <si>
    <t xml:space="preserve">Inventory coverage until 8/24
477 running in PA120. 
476 next in PA120.</t>
  </si>
  <si>
    <t xml:space="preserve">No issues. 
Jackson roundtrip today. 
PCII delivery today.</t>
  </si>
  <si>
    <t xml:space="preserve">PA120: decoiler/straightener wouldn't go in reverse. 
PA115: pilot release not working correctly. 
WC40: will not cycle. </t>
  </si>
  <si>
    <t xml:space="preserve">PA120: loose stamp retainer.
PA115: part not ejecting. 
PA111: scrap marks.
PA50: feeler fail. </t>
  </si>
  <si>
    <t xml:space="preserve">1st shift 8/20:
PA115 - set T6H2CF213/263D (.83hrs)
PA119 - set C20007/8 (1.03hrs)
PA118 - set 723305S00B/306 (1.13hrs)
PA110 - set T6H3CF148/198A (1.13hrs)
PA50 - set 3864761/4162476 (1.65hrs)
PA4 - set 3888462/3948318 (1.3hrs)
PA120 - set 726477H06C (1.73hrs)</t>
  </si>
  <si>
    <t xml:space="preserve">2nd shift 8/19:   
PA120 - scrap jam OP10 (.5hrs)
PA111 - chipped punch (1hr)
1st shift 8/20:
PA120 - uncoiler and straightener wouldn't go in reverse, stamp retainer was loose - left bolt mark on the part (.3hrs)
PA115 - parts not ejecting correctly at the cut-off, pilot release not working (.85hrs)
PA111 - scrap marks (1.72hrs)
PA50 - feeler fail, low button (.5hrs)
WC40 - robot issues (Down today - Julius working on cell)</t>
  </si>
  <si>
    <t xml:space="preserve">Cleaned bathrooms
Cleaned lunch area
Dumped trash
Goose poop duty.</t>
  </si>
  <si>
    <t xml:space="preserve">8/19 2ND SHIFT:
724150H11B: 100% - POLISH FORM. 1.73 HOURS
C52328/32: 100% - FEELER FAIL. 3.47 HOURS
C15013/15207: TRIM AND HOLE BURRS. 20% - 3.8 HOURS
3864310: 40% - FPM. 10.3 HOURS 
PRESS CALLS:
PA120: 724151H10B - SCRAP BUILD UP. .38 HOURS. JESSE CLEARED SCRAP AND WILL ADDRESS CHUTE ON BENCH BEFORE NEXT RUN.
PA111: 3976391 - CHIPPED DETAIL. .88 HOURS. JESSE REPAIRED BYPASS NOTCH IN TRIM DETAIL.
SCHEDULED/UNSCHEDULED:
JESSE DENNIS: 9/1.26 = 10.26 HOURS 
JOHN GREEN: 10.3/0 = 10.3 HOURS
TOOLING DOWNTIME: 1.26 HOURS
WORKCENTER LOGS: 1.41 HOURS
8/20 1ST SHIFT:
C79305/405: 50% - FPM. 1.93 HOURS.
C80003/103: 40% - TIME OUT DIES/VERFIY INDIE SENSRS. 18.68 HOURS. GREG AND JEFF WORKED ON.
C62215/265: 100% - HOLE BURRS. 3.93 HOUR
C00920/01824: 80% - CAM HOLE BURRS. 6.85 HOURS
C80001/101: 10% - INITIAL REVIEW/BOLT CHECK. 3.23 HOURS. 
PRESS CALLS: 
PA111: 3976391 - SCRAP IN DIE. 1.6 HOURS. MERLIN SHARPENED UPPER TRIM STEEL.
PA115: C62213/263 - BENT PART CHUTE. .3 HOURS. JEFF STRAIGHTENED BACK OUT. 
PA50: C62476/64761 - LOW BUTTON. .58 HOURS. ZACH SHIMMED UP.
SCHEDULED/UNSCHEDULED:
GREG WEICK: 8.48/0 = 8.48 HOURS
MERLIN TACKETT: 6.85/1.6 = 8.45 HOURS
JEFF ROSE: 10.2/.3 = 10.5 HOURS
ZACH BRAMIGK: 7.16/.58 = 7.74 HOURS 
TOOLING DOWNTIME: 2.48 HOURS
WORKCENTER LOGS: 2.56 HOURS</t>
  </si>
  <si>
    <t xml:space="preserve">PA 116: Worked on fixing oil leaks at lube pump. 
PA 115: Pilot release not working: Added OIl. 
PA 119: Feeder Would not start, hit button and it started. 
WC 40: Was able to recover from multiple faults. Two Battery Faults, and remaster Robot. Got Robot to run but stuck in tip dress due to the gun calibration is off. I will work on fixing this tomorrow.</t>
  </si>
  <si>
    <t xml:space="preserve">PA120 | 724150H11B | No new issues
PA119 |  | No new issues
PA118 | C93624 | No new issues
PA117 |  | No new issues
PA116 |  | No new issues
PA115 |  | No new issues
PA112 |  | No new issues
PA111 |  | No new issues
PA110 |  | No new issues
PA50 |  | No new issues
SSL | 20007/8-AC | No new issues
Welding |  | 
Customer |  | No New Issues
Supplier |  | No new issues
Internal |  | No new issues</t>
  </si>
  <si>
    <t>EAP Daily Update - Friday 8.21.26 - Submitted to Executive Team by 5 pm</t>
  </si>
  <si>
    <t xml:space="preserve">2026 Q3 DL Requirement: 41
Staffing Changes: 
New Hire:  
Total EAP Employees minus LOA                                          
DL:  38         (1st -25  - 2nd 13)  
DL: PT - 1      2nd shift - Desmond Brown T-F (13-16 hrs.)                                                                                        
IDL:   22       (1st 16 - 2nd 6)
Total Present:
DL =  1st - 21,  2nd - 12                                                                                                                                                                                                                                             IDL PT = 1
IDL = 21
Planned Absenteeism:
DL:  1st shift: Brenda Burroughs, Jason Faulkner, Tracey Stecker (1/2 day)
IDL:  1st shift:  
DL: 2nd Shift:  Clinton Walter
IDL: 2nd Shift:  
Unplanned Absenteeism (call off/leave early):
DL 1st shift - Steve Baughman, James Pulley (EO @ 10am)
IDL 1st Shift - 
DL 2nd Shift - 
IDL 2nd Shift:  
Other:  LOA -DL -Jerry Weick (ERTW September - December), Merritt Higgins (TBD)</t>
  </si>
  <si>
    <t xml:space="preserve">Inventory coverage until 8/27.
5300920/5301824 going into PA118 Monday AM.</t>
  </si>
  <si>
    <t xml:space="preserve">Inventory coverage until 8/27.
Will receive empties tonight, then we'll start packing black oxide parts Monday. </t>
  </si>
  <si>
    <t xml:space="preserve">Inventory coverage until 8/26
32495 going into PA116 Monday.</t>
  </si>
  <si>
    <t xml:space="preserve">Inventory coverage until 8/27
76391 running in PA111. </t>
  </si>
  <si>
    <t xml:space="preserve">Inventory coverage until 8/25
476 running in PA120. </t>
  </si>
  <si>
    <t>No issues.</t>
  </si>
  <si>
    <t xml:space="preserve">PA120: repair shuttle
PA116: coil reel wouldn't reverse.
PA111: Estop fault.
WC40: Welder down, Julius investigating, Savannah assisting at 2:30pm. </t>
  </si>
  <si>
    <t xml:space="preserve">PA120: holes off location.
PA119: die sensor issue. 
PA115: burr</t>
  </si>
  <si>
    <t xml:space="preserve">1st shift 8/21:
PA116 - set 4189052 (.77hrs)
PA120 - set 726476H06C (1.1hrs)
PA115 - set 3560431 (.98hrs)</t>
  </si>
  <si>
    <t>PS10 - set 48073/64889 (.5hrs)</t>
  </si>
  <si>
    <t xml:space="preserve">2nd shift 8/20:   
PS10 - loose light curtain bolts, reset break monitor x2 (5hrs)
PA120 - broken bolt in shuttle, replaced gripper sensor, loose bolts on shuttle (1.5hrs)
PA119 - die pro issues (.75hrs)
1st shift 8/21:
PA120 - chipped lower detail, repair front shuttle shaft, holes off location (1.36hrs)
PA119 - die sensor not working, in die sensor issue (3.5hrs)
PA116 - coil reel wouldn't go in reverse (.05hrs)
PA115 - burr
PA111 - e-stop (.2HRS)
PS10 - part stuck in chute</t>
  </si>
  <si>
    <t xml:space="preserve">Cleaned bathrooms
Cleaned lunch area
Dumped trash
Worked on floors. 
Painted outside brick area gray.</t>
  </si>
  <si>
    <t xml:space="preserve">8/20 2ND SHIFT:
C15013/15207: 50% - BURRS. 10.00 HOURS.
3864310: 70% - FPM. 10.48 HOURS
PRESS CALLS:
PA119: C20007/8-AC - SENSOR NOT WORKING. .25 HOURS. JESSE DETERMINED IT WAS A BAS=D SENSOR. LEFT FOR 1ST SHIFT TO REPAIR. HAD A DISUSSION WITH HIM ON WHY HE DID NOT REPAIR ON HIS SHIFT TO AVOID PRESS DOWNTIME. 
SCHEDULED/UNSCHEDULED:
JESSE DENNIS: 10.00/.25 = 10.25 HOURS 
JOHN GREEN: 10.48/0 = 10.48 HOURS
TOOLING DOWNTIME: .25 HOURS
WORKCENTER LOGS: .75 HOURS
8/21 1ST SHIFT:
C80003/103: 80% - SENSORS/BOTTOMING BLOCKS/CLEAR STRIPPER. 9.12 HOURS. GREG AND JEFF CONTINUING MAKING IMPROVEMENTS
C00920/01824: 100% - HOLE BURRS/BROKE TRAP GAGE. 
C80001/101: 90% - INITIAL REVIEW. 12.46 HOURS. FOUND 2 STOP BLOCKS INDENTED FROM OVER HITTING. ZACH IS REPAIRING. 
C93624/5: 20% - BOLT CHECK FORMS. 1.73 HOURS
PRESS CALLS: 
PA119: C20007/8-AC - IN-DIE SENSOR REPAIR. 3.28 HOURS. GREG WAS ABLE TO REPAIR DAMAGED SENSOR.
PS10: 48073-10/64889-10 - CHANGE-OVER. .63 HOURS
SCHEDULED/UNSCHEDULED:
GREG WEICK: 5.1/3.28 = 8.38 HOURS
MERLIN TACKETT: 7.55/.63 = 8.18 HOURS
JEFF ROSE: 10.35/0 = 10.35 HOURS
ZACH BRAMIGK: 8.44/0 = 8.44 HOURS
TOOLING DOWNTIME: 3.91 HOURS
WORKCENTER LOGS: 4.3 HOURS</t>
  </si>
  <si>
    <t xml:space="preserve">PA 111: E-stop fault. 
PA 120: Shuttle broken, had to repair. 
Hand assembly: Bad Sensor: Replaced Sensor.  
 WC-40: all faults cleared, batteries changed. Robot able to move, but the coordinates are off for tip change and possibly the weld fixture. Looking to see if Diego can come out and look at it on Monday, or if we can get Tec Options in to recalibrate robot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</si>
</sst>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C000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8">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4"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9" fillId="4" borderId="8" xfId="0" applyFont="1" applyFill="1" applyBorder="1" applyAlignment="1">
      <alignment horizontal="center" vertical="center" wrapText="1" inden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6" fillId="3" borderId="6" xfId="0" applyFont="1" applyFill="1" applyBorder="1" applyAlignment="1">
      <alignment horizontal="center" vertical="center" wrapText="1" indent="1"/>
    </xf>
    <xf numFmtId="0" fontId="0" fillId="3" borderId="1" xfId="0" applyFill="1" applyBorder="1" applyAlignment="1">
      <alignment horizontal="center" vertical="center" wrapText="1"/>
    </xf>
    <xf numFmtId="0" fontId="5" fillId="4" borderId="1" xfId="0" applyFont="1" applyFill="1" applyBorder="1" applyAlignment="1">
      <alignment horizontal="center" vertical="center" wrapText="1"/>
    </xf>
    <xf numFmtId="0" fontId="9" fillId="4" borderId="6" xfId="0" applyFont="1" applyFill="1" applyBorder="1" applyAlignment="1">
      <alignment horizontal="center" vertical="center" wrapText="1" inden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36" t="s">
        <v>17</v>
      </c>
      <c r="E46" s="24"/>
      <c r="F46" s="25" t="s">
        <v>41</v>
      </c>
      <c r="G46" s="25">
        <v>8</v>
      </c>
      <c r="H46" s="27" t="s">
        <v>43</v>
      </c>
      <c r="I46" s="27"/>
      <c r="J46" s="27"/>
      <c r="K46" s="27"/>
      <c r="L46" s="27"/>
      <c r="M46" s="27"/>
      <c r="N46" s="27"/>
      <c r="O46" s="27"/>
      <c r="P46" s="27"/>
    </row>
    <row r="47" ht="22.7" customHeight="1" spans="1:16" x14ac:dyDescent="0.25">
      <c r="A47" s="18"/>
      <c r="B47" s="7"/>
      <c r="C47" s="7"/>
      <c r="D47" s="28" t="s">
        <v>8</v>
      </c>
      <c r="E47" s="37" t="s">
        <v>44</v>
      </c>
      <c r="F47" s="25" t="s">
        <v>45</v>
      </c>
      <c r="G47" s="25">
        <v>2</v>
      </c>
      <c r="H47" s="27" t="s">
        <v>32</v>
      </c>
      <c r="I47" s="27"/>
      <c r="J47" s="27"/>
      <c r="K47" s="27"/>
      <c r="L47" s="27"/>
      <c r="M47" s="27"/>
      <c r="N47" s="27"/>
      <c r="O47" s="27"/>
      <c r="P47" s="27"/>
    </row>
    <row r="48" ht="22.7" customHeight="1" spans="1:16" x14ac:dyDescent="0.25">
      <c r="A48" s="18"/>
      <c r="B48" s="7"/>
      <c r="C48" s="7"/>
      <c r="D48" s="28" t="s">
        <v>8</v>
      </c>
      <c r="E48" s="37" t="s">
        <v>46</v>
      </c>
      <c r="F48" s="25" t="s">
        <v>47</v>
      </c>
      <c r="G48" s="25">
        <v>3</v>
      </c>
      <c r="H48" s="27" t="s">
        <v>48</v>
      </c>
      <c r="I48" s="27"/>
      <c r="J48" s="27"/>
      <c r="K48" s="27"/>
      <c r="L48" s="27"/>
      <c r="M48" s="27"/>
      <c r="N48" s="27"/>
      <c r="O48" s="27"/>
      <c r="P48" s="27"/>
    </row>
    <row r="49" ht="22.7" customHeight="1" spans="1:16" x14ac:dyDescent="0.25">
      <c r="A49" s="18"/>
      <c r="B49" s="7"/>
      <c r="C49" s="7"/>
      <c r="D49" s="38" t="s">
        <v>49</v>
      </c>
      <c r="E49" s="37" t="s">
        <v>50</v>
      </c>
      <c r="F49" s="39" t="s">
        <v>51</v>
      </c>
      <c r="G49" s="25">
        <v>2</v>
      </c>
      <c r="H49" s="27" t="s">
        <v>52</v>
      </c>
      <c r="I49" s="27"/>
      <c r="J49" s="27"/>
      <c r="K49" s="27"/>
      <c r="L49" s="27"/>
      <c r="M49" s="27"/>
      <c r="N49" s="27"/>
      <c r="O49" s="27"/>
      <c r="P49" s="27"/>
    </row>
    <row r="50" ht="22.7" customHeight="1" spans="1:16" x14ac:dyDescent="0.25">
      <c r="A50" s="18"/>
      <c r="B50" s="7"/>
      <c r="C50" s="7"/>
      <c r="D50" s="28" t="s">
        <v>8</v>
      </c>
      <c r="E50" s="37" t="s">
        <v>53</v>
      </c>
      <c r="F50" s="25" t="s">
        <v>54</v>
      </c>
      <c r="G50" s="25">
        <v>5</v>
      </c>
      <c r="H50" s="27" t="s">
        <v>55</v>
      </c>
      <c r="I50" s="27"/>
      <c r="J50" s="27"/>
      <c r="K50" s="27"/>
      <c r="L50" s="27"/>
      <c r="M50" s="27"/>
      <c r="N50" s="27"/>
      <c r="O50" s="27"/>
      <c r="P50" s="27"/>
    </row>
    <row r="51" ht="22.7" customHeight="1" spans="1:16" x14ac:dyDescent="0.25">
      <c r="A51" s="18"/>
      <c r="B51" s="7"/>
      <c r="C51" s="7"/>
      <c r="D51" s="28" t="s">
        <v>8</v>
      </c>
      <c r="E51" s="37" t="s">
        <v>56</v>
      </c>
      <c r="F51" s="25" t="s">
        <v>57</v>
      </c>
      <c r="G51" s="25">
        <v>2</v>
      </c>
      <c r="H51" s="27" t="s">
        <v>28</v>
      </c>
      <c r="I51" s="27"/>
      <c r="J51" s="27"/>
      <c r="K51" s="27"/>
      <c r="L51" s="27"/>
      <c r="M51" s="27"/>
      <c r="N51" s="27"/>
      <c r="O51" s="27"/>
      <c r="P51" s="27"/>
    </row>
    <row r="52" ht="22.7" customHeight="1" spans="1:16" x14ac:dyDescent="0.25">
      <c r="A52" s="18"/>
      <c r="B52" s="7"/>
      <c r="C52" s="7"/>
      <c r="D52" s="28" t="s">
        <v>8</v>
      </c>
      <c r="E52" s="24" t="s">
        <v>58</v>
      </c>
      <c r="F52" s="25" t="s">
        <v>59</v>
      </c>
      <c r="G52" s="25">
        <v>10</v>
      </c>
      <c r="H52" s="40" t="s">
        <v>60</v>
      </c>
      <c r="I52" s="40"/>
      <c r="J52" s="40"/>
      <c r="K52" s="40"/>
      <c r="L52" s="40"/>
      <c r="M52" s="40"/>
      <c r="N52" s="40"/>
      <c r="O52" s="40"/>
      <c r="P52" s="40"/>
    </row>
    <row r="53" ht="22.7" customHeight="1" spans="1:16" x14ac:dyDescent="0.25">
      <c r="A53" s="18"/>
      <c r="B53" s="7"/>
      <c r="C53" s="7"/>
      <c r="D53" s="28" t="s">
        <v>8</v>
      </c>
      <c r="E53" s="37" t="s">
        <v>61</v>
      </c>
      <c r="F53" s="25" t="s">
        <v>62</v>
      </c>
      <c r="G53" s="25">
        <v>2</v>
      </c>
      <c r="H53" s="27" t="s">
        <v>42</v>
      </c>
      <c r="I53" s="27"/>
      <c r="J53" s="27"/>
      <c r="K53" s="27"/>
      <c r="L53" s="27"/>
      <c r="M53" s="27"/>
      <c r="N53" s="27"/>
      <c r="O53" s="27"/>
      <c r="P53" s="27"/>
    </row>
    <row r="54" ht="22.7" customHeight="1" spans="1:16" x14ac:dyDescent="0.25">
      <c r="A54" s="18"/>
      <c r="B54" s="7"/>
      <c r="C54" s="7"/>
      <c r="D54" s="36" t="s">
        <v>17</v>
      </c>
      <c r="E54" s="41" t="s">
        <v>63</v>
      </c>
      <c r="F54" s="25" t="s">
        <v>64</v>
      </c>
      <c r="G54" s="25">
        <v>4</v>
      </c>
      <c r="H54" s="42" t="s">
        <v>65</v>
      </c>
      <c r="I54" s="42"/>
      <c r="J54" s="42"/>
      <c r="K54" s="42"/>
      <c r="L54" s="42"/>
      <c r="M54" s="42"/>
      <c r="N54" s="42"/>
      <c r="O54" s="42"/>
      <c r="P54" s="42"/>
    </row>
    <row r="55" ht="22.7" customHeight="1" spans="1:16" x14ac:dyDescent="0.25">
      <c r="A55" s="18"/>
      <c r="B55" s="7"/>
      <c r="C55" s="7"/>
      <c r="D55" s="28" t="s">
        <v>8</v>
      </c>
      <c r="E55" s="24" t="s">
        <v>63</v>
      </c>
      <c r="F55" s="25" t="s">
        <v>66</v>
      </c>
      <c r="G55" s="25">
        <v>18</v>
      </c>
      <c r="H55" s="42" t="s">
        <v>67</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70</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48" t="s">
        <v>8</v>
      </c>
      <c r="E60" s="49" t="s">
        <v>73</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76</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0.96</v>
      </c>
      <c r="G72" s="61"/>
      <c r="H72" s="61"/>
      <c r="I72" s="61"/>
      <c r="J72" s="61"/>
      <c r="K72" s="61"/>
      <c r="L72" s="61"/>
      <c r="M72" s="61"/>
      <c r="N72" s="61"/>
      <c r="O72" s="61"/>
      <c r="P72" s="61"/>
    </row>
    <row r="73" ht="27.95" customHeight="1" spans="1:16" x14ac:dyDescent="0.25">
      <c r="A73" s="52"/>
      <c r="B73" s="53"/>
      <c r="C73" s="53"/>
      <c r="D73" s="62"/>
      <c r="E73" s="63"/>
      <c r="F73" s="60">
        <v>0.89</v>
      </c>
      <c r="G73" s="64"/>
      <c r="H73" s="64"/>
      <c r="I73" s="64"/>
      <c r="J73" s="64"/>
      <c r="K73" s="64"/>
      <c r="L73" s="64"/>
      <c r="M73" s="64"/>
      <c r="N73" s="64"/>
      <c r="O73" s="64"/>
      <c r="P73" s="64"/>
    </row>
    <row r="74" ht="27.6" customHeight="1" spans="1:16" x14ac:dyDescent="0.25">
      <c r="A74" s="52"/>
      <c r="B74" s="53"/>
      <c r="C74" s="53"/>
      <c r="D74" s="65"/>
      <c r="E74" s="63"/>
      <c r="F74" s="60">
        <v>0.91</v>
      </c>
      <c r="G74" s="66"/>
      <c r="H74" s="66"/>
      <c r="I74" s="66"/>
      <c r="J74" s="66"/>
      <c r="K74" s="66"/>
      <c r="L74" s="66"/>
      <c r="M74" s="66"/>
      <c r="N74" s="66"/>
      <c r="O74" s="66"/>
      <c r="P74" s="66"/>
    </row>
    <row r="75" ht="27.6" customHeight="1" spans="1:16" x14ac:dyDescent="0.25">
      <c r="A75" s="52"/>
      <c r="B75" s="53"/>
      <c r="C75" s="53"/>
      <c r="D75" s="58"/>
      <c r="E75" s="67"/>
      <c r="F75" s="60">
        <v>1</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82</v>
      </c>
      <c r="C77" s="70"/>
      <c r="D77" s="71"/>
      <c r="E77" s="72"/>
      <c r="F77" s="73" t="s">
        <v>83</v>
      </c>
      <c r="G77" s="74" t="s">
        <v>84</v>
      </c>
      <c r="H77" s="75" t="s">
        <v>81</v>
      </c>
      <c r="I77" s="75"/>
      <c r="J77" s="75"/>
      <c r="K77" s="75"/>
      <c r="L77" s="75"/>
      <c r="M77" s="75"/>
      <c r="N77" s="75"/>
      <c r="O77" s="75"/>
      <c r="P77" s="75"/>
    </row>
    <row r="78" ht="22.7" customHeight="1" spans="1:16" x14ac:dyDescent="0.25">
      <c r="A78" s="69"/>
      <c r="B78" s="70"/>
      <c r="C78" s="70"/>
      <c r="D78" s="71"/>
      <c r="E78" s="76" t="s">
        <v>85</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86</v>
      </c>
      <c r="I79" s="82"/>
      <c r="J79" s="82"/>
      <c r="K79" s="82"/>
      <c r="L79" s="82"/>
      <c r="M79" s="82"/>
      <c r="N79" s="82"/>
      <c r="O79" s="82"/>
      <c r="P79" s="82"/>
    </row>
    <row r="80" ht="22.7" customHeight="1" spans="1:16" x14ac:dyDescent="0.25">
      <c r="A80" s="69"/>
      <c r="B80" s="70"/>
      <c r="C80" s="70"/>
      <c r="D80" s="71"/>
      <c r="E80" s="83"/>
      <c r="F80" s="63"/>
      <c r="G80" s="81"/>
      <c r="H80" s="84" t="s">
        <v>87</v>
      </c>
      <c r="I80" s="84"/>
      <c r="J80" s="84"/>
      <c r="K80" s="84"/>
      <c r="L80" s="84"/>
      <c r="M80" s="84"/>
      <c r="N80" s="84"/>
      <c r="O80" s="84"/>
      <c r="P80" s="84"/>
    </row>
    <row r="81" ht="22.7" customHeight="1" spans="1:16" x14ac:dyDescent="0.25">
      <c r="A81" s="69"/>
      <c r="B81" s="70"/>
      <c r="C81" s="70"/>
      <c r="D81" s="71"/>
      <c r="E81" s="85"/>
      <c r="F81" s="80"/>
      <c r="G81" s="81"/>
      <c r="H81" s="84" t="s">
        <v>88</v>
      </c>
      <c r="I81" s="84"/>
      <c r="J81" s="84"/>
      <c r="K81" s="84"/>
      <c r="L81" s="84"/>
      <c r="M81" s="84"/>
      <c r="N81" s="84"/>
      <c r="O81" s="84"/>
      <c r="P81" s="84"/>
    </row>
    <row r="82" ht="22.7" customHeight="1" spans="1:16" x14ac:dyDescent="0.25">
      <c r="A82" s="69"/>
      <c r="B82" s="70"/>
      <c r="C82" s="70"/>
      <c r="D82" s="71"/>
      <c r="E82" s="79"/>
      <c r="F82" s="86"/>
      <c r="G82" s="81"/>
      <c r="H82" s="84" t="s">
        <v>89</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0" t="s">
        <v>8</v>
      </c>
      <c r="E84" s="91" t="s">
        <v>91</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95</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48" t="s">
        <v>8</v>
      </c>
      <c r="E113" s="49" t="s">
        <v>99</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102</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105</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108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4" t="s">
        <v>17</v>
      </c>
      <c r="E37" s="24" t="s">
        <v>23</v>
      </c>
      <c r="F37" s="25" t="s">
        <v>24</v>
      </c>
      <c r="G37" s="26">
        <v>8</v>
      </c>
      <c r="H37" s="27" t="s">
        <v>109</v>
      </c>
      <c r="I37" s="27"/>
      <c r="J37" s="27"/>
      <c r="K37" s="27"/>
      <c r="L37" s="27"/>
      <c r="M37" s="27"/>
      <c r="N37" s="27"/>
      <c r="O37" s="27"/>
      <c r="P37" s="27"/>
    </row>
    <row r="38" ht="22.7" customHeight="1" spans="1:16" x14ac:dyDescent="0.25">
      <c r="A38" s="18"/>
      <c r="B38" s="7"/>
      <c r="C38" s="7"/>
      <c r="D38" s="36" t="s">
        <v>17</v>
      </c>
      <c r="E38" s="29" t="s">
        <v>26</v>
      </c>
      <c r="F38" s="30" t="s">
        <v>24</v>
      </c>
      <c r="G38" s="26">
        <v>20</v>
      </c>
      <c r="H38" s="27" t="s">
        <v>110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36" t="s">
        <v>17</v>
      </c>
      <c r="E40" s="31" t="s">
        <v>29</v>
      </c>
      <c r="F40" s="32" t="s">
        <v>24</v>
      </c>
      <c r="G40" s="26">
        <v>8</v>
      </c>
      <c r="H40" s="33" t="s">
        <v>111</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42</v>
      </c>
      <c r="I43" s="27"/>
      <c r="J43" s="27"/>
      <c r="K43" s="27"/>
      <c r="L43" s="27"/>
      <c r="M43" s="27"/>
      <c r="N43" s="27"/>
      <c r="O43" s="27"/>
      <c r="P43" s="27"/>
    </row>
    <row r="44" ht="22.7" customHeight="1" spans="1:16" x14ac:dyDescent="0.25">
      <c r="A44" s="18"/>
      <c r="B44" s="7"/>
      <c r="C44" s="7"/>
      <c r="D44" s="28" t="s">
        <v>8</v>
      </c>
      <c r="E44" s="24" t="s">
        <v>38</v>
      </c>
      <c r="F44" s="25" t="s">
        <v>39</v>
      </c>
      <c r="G44" s="25">
        <v>1</v>
      </c>
      <c r="H44" s="27" t="s">
        <v>112</v>
      </c>
      <c r="I44" s="27"/>
      <c r="J44" s="27"/>
      <c r="K44" s="27"/>
      <c r="L44" s="27"/>
      <c r="M44" s="27"/>
      <c r="N44" s="27"/>
      <c r="O44" s="27"/>
      <c r="P44" s="27"/>
    </row>
    <row r="45" ht="22.7" customHeight="1" spans="1:16" x14ac:dyDescent="0.25">
      <c r="A45" s="18"/>
      <c r="B45" s="7"/>
      <c r="C45" s="7"/>
      <c r="D45" s="28" t="s">
        <v>8</v>
      </c>
      <c r="E45" s="24"/>
      <c r="F45" s="25" t="s">
        <v>41</v>
      </c>
      <c r="G45" s="25">
        <v>2</v>
      </c>
      <c r="H45" s="27" t="s">
        <v>113</v>
      </c>
      <c r="I45" s="27"/>
      <c r="J45" s="27"/>
      <c r="K45" s="27"/>
      <c r="L45" s="27"/>
      <c r="M45" s="27"/>
      <c r="N45" s="27"/>
      <c r="O45" s="27"/>
      <c r="P45" s="27"/>
    </row>
    <row r="46" ht="22.7" customHeight="1" spans="1:16" x14ac:dyDescent="0.25">
      <c r="A46" s="18"/>
      <c r="B46" s="7"/>
      <c r="C46" s="7"/>
      <c r="D46" s="28" t="s">
        <v>8</v>
      </c>
      <c r="E46" s="24"/>
      <c r="F46" s="25" t="s">
        <v>41</v>
      </c>
      <c r="G46" s="25">
        <v>8</v>
      </c>
      <c r="H46" s="27" t="s">
        <v>114</v>
      </c>
      <c r="I46" s="27"/>
      <c r="J46" s="27"/>
      <c r="K46" s="27"/>
      <c r="L46" s="27"/>
      <c r="M46" s="27"/>
      <c r="N46" s="27"/>
      <c r="O46" s="27"/>
      <c r="P46" s="27"/>
    </row>
    <row r="47" ht="22.7" customHeight="1" spans="1:16" x14ac:dyDescent="0.25">
      <c r="A47" s="18"/>
      <c r="B47" s="7"/>
      <c r="C47" s="7"/>
      <c r="D47" s="28" t="s">
        <v>8</v>
      </c>
      <c r="E47" s="37" t="s">
        <v>44</v>
      </c>
      <c r="F47" s="25" t="s">
        <v>45</v>
      </c>
      <c r="G47" s="25">
        <v>2</v>
      </c>
      <c r="H47" s="27" t="s">
        <v>32</v>
      </c>
      <c r="I47" s="27"/>
      <c r="J47" s="27"/>
      <c r="K47" s="27"/>
      <c r="L47" s="27"/>
      <c r="M47" s="27"/>
      <c r="N47" s="27"/>
      <c r="O47" s="27"/>
      <c r="P47" s="27"/>
    </row>
    <row r="48" ht="22.7" customHeight="1" spans="1:16" x14ac:dyDescent="0.25">
      <c r="A48" s="18"/>
      <c r="B48" s="7"/>
      <c r="C48" s="7"/>
      <c r="D48" s="28" t="s">
        <v>8</v>
      </c>
      <c r="E48" s="37" t="s">
        <v>46</v>
      </c>
      <c r="F48" s="25" t="s">
        <v>47</v>
      </c>
      <c r="G48" s="25">
        <v>3</v>
      </c>
      <c r="H48" s="27" t="s">
        <v>115</v>
      </c>
      <c r="I48" s="27"/>
      <c r="J48" s="27"/>
      <c r="K48" s="27"/>
      <c r="L48" s="27"/>
      <c r="M48" s="27"/>
      <c r="N48" s="27"/>
      <c r="O48" s="27"/>
      <c r="P48" s="27"/>
    </row>
    <row r="49" ht="22.7" customHeight="1" spans="1:16" x14ac:dyDescent="0.25">
      <c r="A49" s="18"/>
      <c r="B49" s="7"/>
      <c r="C49" s="7"/>
      <c r="D49" s="28" t="s">
        <v>8</v>
      </c>
      <c r="E49" s="37" t="s">
        <v>50</v>
      </c>
      <c r="F49" s="39" t="s">
        <v>51</v>
      </c>
      <c r="G49" s="25">
        <v>2</v>
      </c>
      <c r="H49" s="27" t="s">
        <v>116</v>
      </c>
      <c r="I49" s="27"/>
      <c r="J49" s="27"/>
      <c r="K49" s="27"/>
      <c r="L49" s="27"/>
      <c r="M49" s="27"/>
      <c r="N49" s="27"/>
      <c r="O49" s="27"/>
      <c r="P49" s="27"/>
    </row>
    <row r="50" ht="22.7" customHeight="1" spans="1:16" x14ac:dyDescent="0.25">
      <c r="A50" s="18"/>
      <c r="B50" s="7"/>
      <c r="C50" s="7"/>
      <c r="D50" s="28" t="s">
        <v>8</v>
      </c>
      <c r="E50" s="37" t="s">
        <v>53</v>
      </c>
      <c r="F50" s="25" t="s">
        <v>54</v>
      </c>
      <c r="G50" s="25">
        <v>5</v>
      </c>
      <c r="H50" s="27" t="s">
        <v>55</v>
      </c>
      <c r="I50" s="27"/>
      <c r="J50" s="27"/>
      <c r="K50" s="27"/>
      <c r="L50" s="27"/>
      <c r="M50" s="27"/>
      <c r="N50" s="27"/>
      <c r="O50" s="27"/>
      <c r="P50" s="27"/>
    </row>
    <row r="51" ht="22.7" customHeight="1" spans="1:16" x14ac:dyDescent="0.25">
      <c r="A51" s="18"/>
      <c r="B51" s="7"/>
      <c r="C51" s="7"/>
      <c r="D51" s="28" t="s">
        <v>8</v>
      </c>
      <c r="E51" s="37" t="s">
        <v>56</v>
      </c>
      <c r="F51" s="25" t="s">
        <v>57</v>
      </c>
      <c r="G51" s="25">
        <v>2</v>
      </c>
      <c r="H51" s="27" t="s">
        <v>117</v>
      </c>
      <c r="I51" s="27"/>
      <c r="J51" s="27"/>
      <c r="K51" s="27"/>
      <c r="L51" s="27"/>
      <c r="M51" s="27"/>
      <c r="N51" s="27"/>
      <c r="O51" s="27"/>
      <c r="P51" s="27"/>
    </row>
    <row r="52" ht="22.7" customHeight="1" spans="1:16" x14ac:dyDescent="0.25">
      <c r="A52" s="18"/>
      <c r="B52" s="7"/>
      <c r="C52" s="7"/>
      <c r="D52" s="28" t="s">
        <v>8</v>
      </c>
      <c r="E52" s="24" t="s">
        <v>58</v>
      </c>
      <c r="F52" s="25" t="s">
        <v>59</v>
      </c>
      <c r="G52" s="25">
        <v>10</v>
      </c>
      <c r="H52" s="40" t="s">
        <v>118</v>
      </c>
      <c r="I52" s="40"/>
      <c r="J52" s="40"/>
      <c r="K52" s="40"/>
      <c r="L52" s="40"/>
      <c r="M52" s="40"/>
      <c r="N52" s="40"/>
      <c r="O52" s="40"/>
      <c r="P52" s="40"/>
    </row>
    <row r="53" ht="22.7" customHeight="1" spans="1:16" x14ac:dyDescent="0.25">
      <c r="A53" s="18"/>
      <c r="B53" s="7"/>
      <c r="C53" s="7"/>
      <c r="D53" s="28" t="s">
        <v>8</v>
      </c>
      <c r="E53" s="37" t="s">
        <v>61</v>
      </c>
      <c r="F53" s="25" t="s">
        <v>62</v>
      </c>
      <c r="G53" s="25">
        <v>2</v>
      </c>
      <c r="H53" s="27" t="s">
        <v>42</v>
      </c>
      <c r="I53" s="27"/>
      <c r="J53" s="27"/>
      <c r="K53" s="27"/>
      <c r="L53" s="27"/>
      <c r="M53" s="27"/>
      <c r="N53" s="27"/>
      <c r="O53" s="27"/>
      <c r="P53" s="27"/>
    </row>
    <row r="54" ht="22.7" customHeight="1" spans="1:16" x14ac:dyDescent="0.25">
      <c r="A54" s="18"/>
      <c r="B54" s="7"/>
      <c r="C54" s="7"/>
      <c r="D54" s="28" t="s">
        <v>8</v>
      </c>
      <c r="E54" s="41" t="s">
        <v>63</v>
      </c>
      <c r="F54" s="25" t="s">
        <v>64</v>
      </c>
      <c r="G54" s="25">
        <v>4</v>
      </c>
      <c r="H54" s="42" t="s">
        <v>119</v>
      </c>
      <c r="I54" s="42"/>
      <c r="J54" s="42"/>
      <c r="K54" s="42"/>
      <c r="L54" s="42"/>
      <c r="M54" s="42"/>
      <c r="N54" s="42"/>
      <c r="O54" s="42"/>
      <c r="P54" s="42"/>
    </row>
    <row r="55" ht="22.7" customHeight="1" spans="1:16" x14ac:dyDescent="0.25">
      <c r="A55" s="18"/>
      <c r="B55" s="7"/>
      <c r="C55" s="7"/>
      <c r="D55" s="28" t="s">
        <v>8</v>
      </c>
      <c r="E55" s="24" t="s">
        <v>63</v>
      </c>
      <c r="F55" s="25" t="s">
        <v>66</v>
      </c>
      <c r="G55" s="25">
        <v>18</v>
      </c>
      <c r="H55" s="42" t="s">
        <v>120</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70</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48" t="s">
        <v>8</v>
      </c>
      <c r="E60" s="49" t="s">
        <v>73</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76</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0.91</v>
      </c>
      <c r="G72" s="61"/>
      <c r="H72" s="61"/>
      <c r="I72" s="61"/>
      <c r="J72" s="61"/>
      <c r="K72" s="61"/>
      <c r="L72" s="61"/>
      <c r="M72" s="61"/>
      <c r="N72" s="61"/>
      <c r="O72" s="61"/>
      <c r="P72" s="61"/>
    </row>
    <row r="73" ht="27.95" customHeight="1" spans="1:16" x14ac:dyDescent="0.25">
      <c r="A73" s="52"/>
      <c r="B73" s="53"/>
      <c r="C73" s="53"/>
      <c r="D73" s="62"/>
      <c r="E73" s="63"/>
      <c r="F73" s="60">
        <v>0.81</v>
      </c>
      <c r="G73" s="64"/>
      <c r="H73" s="64"/>
      <c r="I73" s="64"/>
      <c r="J73" s="64"/>
      <c r="K73" s="64"/>
      <c r="L73" s="64"/>
      <c r="M73" s="64"/>
      <c r="N73" s="64"/>
      <c r="O73" s="64"/>
      <c r="P73" s="64"/>
    </row>
    <row r="74" ht="27.6" customHeight="1" spans="1:16" x14ac:dyDescent="0.25">
      <c r="A74" s="52"/>
      <c r="B74" s="53"/>
      <c r="C74" s="53"/>
      <c r="D74" s="65"/>
      <c r="E74" s="63"/>
      <c r="F74" s="60">
        <v>0.89</v>
      </c>
      <c r="G74" s="66"/>
      <c r="H74" s="66"/>
      <c r="I74" s="66"/>
      <c r="J74" s="66"/>
      <c r="K74" s="66"/>
      <c r="L74" s="66"/>
      <c r="M74" s="66"/>
      <c r="N74" s="66"/>
      <c r="O74" s="66"/>
      <c r="P74" s="66"/>
    </row>
    <row r="75" ht="27.6" customHeight="1" spans="1:16" x14ac:dyDescent="0.25">
      <c r="A75" s="52"/>
      <c r="B75" s="53"/>
      <c r="C75" s="53"/>
      <c r="D75" s="58"/>
      <c r="E75" s="67"/>
      <c r="F75" s="60">
        <v>0.98</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82</v>
      </c>
      <c r="C77" s="70"/>
      <c r="D77" s="71"/>
      <c r="E77" s="72"/>
      <c r="F77" s="73" t="s">
        <v>83</v>
      </c>
      <c r="G77" s="74" t="s">
        <v>84</v>
      </c>
      <c r="H77" s="75" t="s">
        <v>81</v>
      </c>
      <c r="I77" s="75"/>
      <c r="J77" s="75"/>
      <c r="K77" s="75"/>
      <c r="L77" s="75"/>
      <c r="M77" s="75"/>
      <c r="N77" s="75"/>
      <c r="O77" s="75"/>
      <c r="P77" s="75"/>
    </row>
    <row r="78" ht="22.7" customHeight="1" spans="1:16" x14ac:dyDescent="0.25">
      <c r="A78" s="69"/>
      <c r="B78" s="70"/>
      <c r="C78" s="70"/>
      <c r="D78" s="71"/>
      <c r="E78" s="76" t="s">
        <v>85</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121</v>
      </c>
      <c r="I79" s="82"/>
      <c r="J79" s="82"/>
      <c r="K79" s="82"/>
      <c r="L79" s="82"/>
      <c r="M79" s="82"/>
      <c r="N79" s="82"/>
      <c r="O79" s="82"/>
      <c r="P79" s="82"/>
    </row>
    <row r="80" ht="22.7" customHeight="1" spans="1:16" x14ac:dyDescent="0.25">
      <c r="A80" s="69"/>
      <c r="B80" s="70"/>
      <c r="C80" s="70"/>
      <c r="D80" s="71"/>
      <c r="E80" s="83"/>
      <c r="F80" s="63"/>
      <c r="G80" s="81"/>
      <c r="H80" s="84" t="s">
        <v>122</v>
      </c>
      <c r="I80" s="84"/>
      <c r="J80" s="84"/>
      <c r="K80" s="84"/>
      <c r="L80" s="84"/>
      <c r="M80" s="84"/>
      <c r="N80" s="84"/>
      <c r="O80" s="84"/>
      <c r="P80" s="84"/>
    </row>
    <row r="81" ht="22.7" customHeight="1" spans="1:16" x14ac:dyDescent="0.25">
      <c r="A81" s="69"/>
      <c r="B81" s="70"/>
      <c r="C81" s="70"/>
      <c r="D81" s="71"/>
      <c r="E81" s="85"/>
      <c r="F81" s="80"/>
      <c r="G81" s="81"/>
      <c r="H81" s="84" t="s">
        <v>123</v>
      </c>
      <c r="I81" s="84"/>
      <c r="J81" s="84"/>
      <c r="K81" s="84"/>
      <c r="L81" s="84"/>
      <c r="M81" s="84"/>
      <c r="N81" s="84"/>
      <c r="O81" s="84"/>
      <c r="P81" s="84"/>
    </row>
    <row r="82" ht="22.7" customHeight="1" spans="1:16" x14ac:dyDescent="0.25">
      <c r="A82" s="69"/>
      <c r="B82" s="70"/>
      <c r="C82" s="70"/>
      <c r="D82" s="71"/>
      <c r="E82" s="79"/>
      <c r="F82" s="86"/>
      <c r="G82" s="81"/>
      <c r="H82" s="84" t="s">
        <v>124</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0" t="s">
        <v>8</v>
      </c>
      <c r="E84" s="91" t="s">
        <v>125</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126</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95" t="s">
        <v>17</v>
      </c>
      <c r="E113" s="49" t="s">
        <v>127</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128</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129</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6" t="s">
        <v>49</v>
      </c>
      <c r="E11" s="10" t="s">
        <v>131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108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7" t="s">
        <v>49</v>
      </c>
      <c r="E37" s="24" t="s">
        <v>23</v>
      </c>
      <c r="F37" s="25" t="s">
        <v>24</v>
      </c>
      <c r="G37" s="26">
        <v>8</v>
      </c>
      <c r="H37" s="27" t="s">
        <v>132</v>
      </c>
      <c r="I37" s="27"/>
      <c r="J37" s="27"/>
      <c r="K37" s="27"/>
      <c r="L37" s="27"/>
      <c r="M37" s="27"/>
      <c r="N37" s="27"/>
      <c r="O37" s="27"/>
      <c r="P37" s="27"/>
    </row>
    <row r="38" ht="22.7" customHeight="1" spans="1:16" x14ac:dyDescent="0.25">
      <c r="A38" s="18"/>
      <c r="B38" s="7"/>
      <c r="C38" s="7"/>
      <c r="D38" s="38" t="s">
        <v>49</v>
      </c>
      <c r="E38" s="29" t="s">
        <v>26</v>
      </c>
      <c r="F38" s="30" t="s">
        <v>24</v>
      </c>
      <c r="G38" s="26">
        <v>20</v>
      </c>
      <c r="H38" s="27" t="s">
        <v>133</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38" t="s">
        <v>49</v>
      </c>
      <c r="E40" s="31" t="s">
        <v>29</v>
      </c>
      <c r="F40" s="32" t="s">
        <v>24</v>
      </c>
      <c r="G40" s="26">
        <v>8</v>
      </c>
      <c r="H40" s="33" t="s">
        <v>134</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42</v>
      </c>
      <c r="I43" s="27"/>
      <c r="J43" s="27"/>
      <c r="K43" s="27"/>
      <c r="L43" s="27"/>
      <c r="M43" s="27"/>
      <c r="N43" s="27"/>
      <c r="O43" s="27"/>
      <c r="P43" s="27"/>
    </row>
    <row r="44" ht="22.7" customHeight="1" spans="1:16" x14ac:dyDescent="0.25">
      <c r="A44" s="18"/>
      <c r="B44" s="7"/>
      <c r="C44" s="7"/>
      <c r="D44" s="28" t="s">
        <v>8</v>
      </c>
      <c r="E44" s="24" t="s">
        <v>38</v>
      </c>
      <c r="F44" s="25" t="s">
        <v>39</v>
      </c>
      <c r="G44" s="25">
        <v>1</v>
      </c>
      <c r="H44" s="27" t="s">
        <v>135</v>
      </c>
      <c r="I44" s="27"/>
      <c r="J44" s="27"/>
      <c r="K44" s="27"/>
      <c r="L44" s="27"/>
      <c r="M44" s="27"/>
      <c r="N44" s="27"/>
      <c r="O44" s="27"/>
      <c r="P44" s="27"/>
    </row>
    <row r="45" ht="22.7" customHeight="1" spans="1:16" x14ac:dyDescent="0.25">
      <c r="A45" s="18"/>
      <c r="B45" s="7"/>
      <c r="C45" s="7"/>
      <c r="D45" s="28" t="s">
        <v>8</v>
      </c>
      <c r="E45" s="24"/>
      <c r="F45" s="25" t="s">
        <v>41</v>
      </c>
      <c r="G45" s="25">
        <v>2</v>
      </c>
      <c r="H45" s="27" t="s">
        <v>113</v>
      </c>
      <c r="I45" s="27"/>
      <c r="J45" s="27"/>
      <c r="K45" s="27"/>
      <c r="L45" s="27"/>
      <c r="M45" s="27"/>
      <c r="N45" s="27"/>
      <c r="O45" s="27"/>
      <c r="P45" s="27"/>
    </row>
    <row r="46" ht="22.7" customHeight="1" spans="1:16" x14ac:dyDescent="0.25">
      <c r="A46" s="18"/>
      <c r="B46" s="7"/>
      <c r="C46" s="7"/>
      <c r="D46" s="28" t="s">
        <v>8</v>
      </c>
      <c r="E46" s="24"/>
      <c r="F46" s="25" t="s">
        <v>41</v>
      </c>
      <c r="G46" s="25">
        <v>8</v>
      </c>
      <c r="H46" s="27" t="s">
        <v>136</v>
      </c>
      <c r="I46" s="27"/>
      <c r="J46" s="27"/>
      <c r="K46" s="27"/>
      <c r="L46" s="27"/>
      <c r="M46" s="27"/>
      <c r="N46" s="27"/>
      <c r="O46" s="27"/>
      <c r="P46" s="27"/>
    </row>
    <row r="47" ht="22.7" customHeight="1" spans="1:16" x14ac:dyDescent="0.25">
      <c r="A47" s="18"/>
      <c r="B47" s="7"/>
      <c r="C47" s="7"/>
      <c r="D47" s="28" t="s">
        <v>8</v>
      </c>
      <c r="E47" s="37" t="s">
        <v>44</v>
      </c>
      <c r="F47" s="25" t="s">
        <v>45</v>
      </c>
      <c r="G47" s="25">
        <v>2</v>
      </c>
      <c r="H47" s="27" t="s">
        <v>32</v>
      </c>
      <c r="I47" s="27"/>
      <c r="J47" s="27"/>
      <c r="K47" s="27"/>
      <c r="L47" s="27"/>
      <c r="M47" s="27"/>
      <c r="N47" s="27"/>
      <c r="O47" s="27"/>
      <c r="P47" s="27"/>
    </row>
    <row r="48" ht="22.7" customHeight="1" spans="1:16" x14ac:dyDescent="0.25">
      <c r="A48" s="18"/>
      <c r="B48" s="7"/>
      <c r="C48" s="7"/>
      <c r="D48" s="28" t="s">
        <v>8</v>
      </c>
      <c r="E48" s="37" t="s">
        <v>46</v>
      </c>
      <c r="F48" s="25" t="s">
        <v>47</v>
      </c>
      <c r="G48" s="25">
        <v>3</v>
      </c>
      <c r="H48" s="27" t="s">
        <v>115</v>
      </c>
      <c r="I48" s="27"/>
      <c r="J48" s="27"/>
      <c r="K48" s="27"/>
      <c r="L48" s="27"/>
      <c r="M48" s="27"/>
      <c r="N48" s="27"/>
      <c r="O48" s="27"/>
      <c r="P48" s="27"/>
    </row>
    <row r="49" ht="22.7" customHeight="1" spans="1:16" x14ac:dyDescent="0.25">
      <c r="A49" s="18"/>
      <c r="B49" s="7"/>
      <c r="C49" s="7"/>
      <c r="D49" s="28" t="s">
        <v>8</v>
      </c>
      <c r="E49" s="37" t="s">
        <v>50</v>
      </c>
      <c r="F49" s="39" t="s">
        <v>51</v>
      </c>
      <c r="G49" s="25">
        <v>2</v>
      </c>
      <c r="H49" s="27" t="s">
        <v>116</v>
      </c>
      <c r="I49" s="27"/>
      <c r="J49" s="27"/>
      <c r="K49" s="27"/>
      <c r="L49" s="27"/>
      <c r="M49" s="27"/>
      <c r="N49" s="27"/>
      <c r="O49" s="27"/>
      <c r="P49" s="27"/>
    </row>
    <row r="50" ht="22.7" customHeight="1" spans="1:16" x14ac:dyDescent="0.25">
      <c r="A50" s="18"/>
      <c r="B50" s="7"/>
      <c r="C50" s="7"/>
      <c r="D50" s="28" t="s">
        <v>8</v>
      </c>
      <c r="E50" s="37" t="s">
        <v>53</v>
      </c>
      <c r="F50" s="25" t="s">
        <v>54</v>
      </c>
      <c r="G50" s="25">
        <v>5</v>
      </c>
      <c r="H50" s="27" t="s">
        <v>55</v>
      </c>
      <c r="I50" s="27"/>
      <c r="J50" s="27"/>
      <c r="K50" s="27"/>
      <c r="L50" s="27"/>
      <c r="M50" s="27"/>
      <c r="N50" s="27"/>
      <c r="O50" s="27"/>
      <c r="P50" s="27"/>
    </row>
    <row r="51" ht="22.7" customHeight="1" spans="1:16" x14ac:dyDescent="0.25">
      <c r="A51" s="18"/>
      <c r="B51" s="7"/>
      <c r="C51" s="7"/>
      <c r="D51" s="28" t="s">
        <v>8</v>
      </c>
      <c r="E51" s="37" t="s">
        <v>56</v>
      </c>
      <c r="F51" s="25" t="s">
        <v>57</v>
      </c>
      <c r="G51" s="25">
        <v>2</v>
      </c>
      <c r="H51" s="27" t="s">
        <v>117</v>
      </c>
      <c r="I51" s="27"/>
      <c r="J51" s="27"/>
      <c r="K51" s="27"/>
      <c r="L51" s="27"/>
      <c r="M51" s="27"/>
      <c r="N51" s="27"/>
      <c r="O51" s="27"/>
      <c r="P51" s="27"/>
    </row>
    <row r="52" ht="22.7" customHeight="1" spans="1:16" x14ac:dyDescent="0.25">
      <c r="A52" s="18"/>
      <c r="B52" s="7"/>
      <c r="C52" s="7"/>
      <c r="D52" s="28" t="s">
        <v>8</v>
      </c>
      <c r="E52" s="24" t="s">
        <v>58</v>
      </c>
      <c r="F52" s="25" t="s">
        <v>59</v>
      </c>
      <c r="G52" s="25">
        <v>10</v>
      </c>
      <c r="H52" s="40" t="s">
        <v>118</v>
      </c>
      <c r="I52" s="40"/>
      <c r="J52" s="40"/>
      <c r="K52" s="40"/>
      <c r="L52" s="40"/>
      <c r="M52" s="40"/>
      <c r="N52" s="40"/>
      <c r="O52" s="40"/>
      <c r="P52" s="40"/>
    </row>
    <row r="53" ht="22.7" customHeight="1" spans="1:16" x14ac:dyDescent="0.25">
      <c r="A53" s="18"/>
      <c r="B53" s="7"/>
      <c r="C53" s="7"/>
      <c r="D53" s="28" t="s">
        <v>8</v>
      </c>
      <c r="E53" s="37" t="s">
        <v>61</v>
      </c>
      <c r="F53" s="25" t="s">
        <v>62</v>
      </c>
      <c r="G53" s="25">
        <v>2</v>
      </c>
      <c r="H53" s="27" t="s">
        <v>42</v>
      </c>
      <c r="I53" s="27"/>
      <c r="J53" s="27"/>
      <c r="K53" s="27"/>
      <c r="L53" s="27"/>
      <c r="M53" s="27"/>
      <c r="N53" s="27"/>
      <c r="O53" s="27"/>
      <c r="P53" s="27"/>
    </row>
    <row r="54" ht="22.7" customHeight="1" spans="1:16" x14ac:dyDescent="0.25">
      <c r="A54" s="18"/>
      <c r="B54" s="7"/>
      <c r="C54" s="7"/>
      <c r="D54" s="28" t="s">
        <v>8</v>
      </c>
      <c r="E54" s="41" t="s">
        <v>63</v>
      </c>
      <c r="F54" s="25" t="s">
        <v>64</v>
      </c>
      <c r="G54" s="25">
        <v>4</v>
      </c>
      <c r="H54" s="42" t="s">
        <v>119</v>
      </c>
      <c r="I54" s="42"/>
      <c r="J54" s="42"/>
      <c r="K54" s="42"/>
      <c r="L54" s="42"/>
      <c r="M54" s="42"/>
      <c r="N54" s="42"/>
      <c r="O54" s="42"/>
      <c r="P54" s="42"/>
    </row>
    <row r="55" ht="22.7" customHeight="1" spans="1:16" x14ac:dyDescent="0.25">
      <c r="A55" s="18"/>
      <c r="B55" s="7"/>
      <c r="C55" s="7"/>
      <c r="D55" s="28" t="s">
        <v>8</v>
      </c>
      <c r="E55" s="24" t="s">
        <v>63</v>
      </c>
      <c r="F55" s="25" t="s">
        <v>66</v>
      </c>
      <c r="G55" s="25">
        <v>18</v>
      </c>
      <c r="H55" s="42" t="s">
        <v>120</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137</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48" t="s">
        <v>8</v>
      </c>
      <c r="E60" s="49" t="s">
        <v>138</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76</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0.97</v>
      </c>
      <c r="G72" s="61"/>
      <c r="H72" s="61"/>
      <c r="I72" s="61"/>
      <c r="J72" s="61"/>
      <c r="K72" s="61"/>
      <c r="L72" s="61"/>
      <c r="M72" s="61"/>
      <c r="N72" s="61"/>
      <c r="O72" s="61"/>
      <c r="P72" s="61"/>
    </row>
    <row r="73" ht="27.95" customHeight="1" spans="1:16" x14ac:dyDescent="0.25">
      <c r="A73" s="52"/>
      <c r="B73" s="53"/>
      <c r="C73" s="53"/>
      <c r="D73" s="62"/>
      <c r="E73" s="63"/>
      <c r="F73" s="60">
        <v>0.85</v>
      </c>
      <c r="G73" s="64"/>
      <c r="H73" s="64"/>
      <c r="I73" s="64"/>
      <c r="J73" s="64"/>
      <c r="K73" s="64"/>
      <c r="L73" s="64"/>
      <c r="M73" s="64"/>
      <c r="N73" s="64"/>
      <c r="O73" s="64"/>
      <c r="P73" s="64"/>
    </row>
    <row r="74" ht="27.6" customHeight="1" spans="1:16" x14ac:dyDescent="0.25">
      <c r="A74" s="52"/>
      <c r="B74" s="53"/>
      <c r="C74" s="53"/>
      <c r="D74" s="65"/>
      <c r="E74" s="63"/>
      <c r="F74" s="60">
        <v>0.75</v>
      </c>
      <c r="G74" s="66"/>
      <c r="H74" s="66"/>
      <c r="I74" s="66"/>
      <c r="J74" s="66"/>
      <c r="K74" s="66"/>
      <c r="L74" s="66"/>
      <c r="M74" s="66"/>
      <c r="N74" s="66"/>
      <c r="O74" s="66"/>
      <c r="P74" s="66"/>
    </row>
    <row r="75" ht="27.6" customHeight="1" spans="1:16" x14ac:dyDescent="0.25">
      <c r="A75" s="52"/>
      <c r="B75" s="53"/>
      <c r="C75" s="53"/>
      <c r="D75" s="58"/>
      <c r="E75" s="67"/>
      <c r="F75" s="60">
        <v>1</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82</v>
      </c>
      <c r="C77" s="70"/>
      <c r="D77" s="71"/>
      <c r="E77" s="72"/>
      <c r="F77" s="73" t="s">
        <v>83</v>
      </c>
      <c r="G77" s="74" t="s">
        <v>84</v>
      </c>
      <c r="H77" s="75" t="s">
        <v>81</v>
      </c>
      <c r="I77" s="75"/>
      <c r="J77" s="75"/>
      <c r="K77" s="75"/>
      <c r="L77" s="75"/>
      <c r="M77" s="75"/>
      <c r="N77" s="75"/>
      <c r="O77" s="75"/>
      <c r="P77" s="75"/>
    </row>
    <row r="78" ht="22.7" customHeight="1" spans="1:16" x14ac:dyDescent="0.25">
      <c r="A78" s="69"/>
      <c r="B78" s="70"/>
      <c r="C78" s="70"/>
      <c r="D78" s="71"/>
      <c r="E78" s="76" t="s">
        <v>85</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139</v>
      </c>
      <c r="I79" s="82"/>
      <c r="J79" s="82"/>
      <c r="K79" s="82"/>
      <c r="L79" s="82"/>
      <c r="M79" s="82"/>
      <c r="N79" s="82"/>
      <c r="O79" s="82"/>
      <c r="P79" s="82"/>
    </row>
    <row r="80" ht="22.7" customHeight="1" spans="1:16" x14ac:dyDescent="0.25">
      <c r="A80" s="69"/>
      <c r="B80" s="70"/>
      <c r="C80" s="70"/>
      <c r="D80" s="71"/>
      <c r="E80" s="83"/>
      <c r="F80" s="63"/>
      <c r="G80" s="81"/>
      <c r="H80" s="84" t="s">
        <v>140</v>
      </c>
      <c r="I80" s="84"/>
      <c r="J80" s="84"/>
      <c r="K80" s="84"/>
      <c r="L80" s="84"/>
      <c r="M80" s="84"/>
      <c r="N80" s="84"/>
      <c r="O80" s="84"/>
      <c r="P80" s="84"/>
    </row>
    <row r="81" ht="22.7" customHeight="1" spans="1:16" x14ac:dyDescent="0.25">
      <c r="A81" s="69"/>
      <c r="B81" s="70"/>
      <c r="C81" s="70"/>
      <c r="D81" s="71"/>
      <c r="E81" s="85"/>
      <c r="F81" s="80"/>
      <c r="G81" s="81"/>
      <c r="H81" s="84" t="s">
        <v>141</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0" t="s">
        <v>8</v>
      </c>
      <c r="E84" s="91" t="s">
        <v>142</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143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144</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95" t="s">
        <v>17</v>
      </c>
      <c r="E113" s="49" t="s">
        <v>145</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146</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147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7" t="s">
        <v>17</v>
      </c>
      <c r="E11" s="10" t="s">
        <v>149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108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37</v>
      </c>
      <c r="I37" s="27"/>
      <c r="J37" s="27"/>
      <c r="K37" s="27"/>
      <c r="L37" s="27"/>
      <c r="M37" s="27"/>
      <c r="N37" s="27"/>
      <c r="O37" s="27"/>
      <c r="P37" s="27"/>
    </row>
    <row r="38" ht="22.7" customHeight="1" spans="1:16" x14ac:dyDescent="0.25">
      <c r="A38" s="18"/>
      <c r="B38" s="7"/>
      <c r="C38" s="7"/>
      <c r="D38" s="28" t="s">
        <v>8</v>
      </c>
      <c r="E38" s="29" t="s">
        <v>26</v>
      </c>
      <c r="F38" s="30" t="s">
        <v>24</v>
      </c>
      <c r="G38" s="26">
        <v>20</v>
      </c>
      <c r="H38" s="27" t="s">
        <v>37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37</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42</v>
      </c>
      <c r="I43" s="27"/>
      <c r="J43" s="27"/>
      <c r="K43" s="27"/>
      <c r="L43" s="27"/>
      <c r="M43" s="27"/>
      <c r="N43" s="27"/>
      <c r="O43" s="27"/>
      <c r="P43" s="27"/>
    </row>
    <row r="44" ht="22.7" customHeight="1" spans="1:16" x14ac:dyDescent="0.25">
      <c r="A44" s="18"/>
      <c r="B44" s="7"/>
      <c r="C44" s="7"/>
      <c r="D44" s="28" t="s">
        <v>8</v>
      </c>
      <c r="E44" s="24" t="s">
        <v>38</v>
      </c>
      <c r="F44" s="25" t="s">
        <v>39</v>
      </c>
      <c r="G44" s="25">
        <v>1</v>
      </c>
      <c r="H44" s="27" t="s">
        <v>135</v>
      </c>
      <c r="I44" s="27"/>
      <c r="J44" s="27"/>
      <c r="K44" s="27"/>
      <c r="L44" s="27"/>
      <c r="M44" s="27"/>
      <c r="N44" s="27"/>
      <c r="O44" s="27"/>
      <c r="P44" s="27"/>
    </row>
    <row r="45" ht="22.7" customHeight="1" spans="1:16" x14ac:dyDescent="0.25">
      <c r="A45" s="18"/>
      <c r="B45" s="7"/>
      <c r="C45" s="7"/>
      <c r="D45" s="28" t="s">
        <v>8</v>
      </c>
      <c r="E45" s="24"/>
      <c r="F45" s="25" t="s">
        <v>41</v>
      </c>
      <c r="G45" s="25">
        <v>2</v>
      </c>
      <c r="H45" s="27" t="s">
        <v>113</v>
      </c>
      <c r="I45" s="27"/>
      <c r="J45" s="27"/>
      <c r="K45" s="27"/>
      <c r="L45" s="27"/>
      <c r="M45" s="27"/>
      <c r="N45" s="27"/>
      <c r="O45" s="27"/>
      <c r="P45" s="27"/>
    </row>
    <row r="46" ht="22.7" customHeight="1" spans="1:16" x14ac:dyDescent="0.25">
      <c r="A46" s="18"/>
      <c r="B46" s="7"/>
      <c r="C46" s="7"/>
      <c r="D46" s="28" t="s">
        <v>8</v>
      </c>
      <c r="E46" s="24"/>
      <c r="F46" s="25" t="s">
        <v>41</v>
      </c>
      <c r="G46" s="25">
        <v>8</v>
      </c>
      <c r="H46" s="27" t="s">
        <v>136</v>
      </c>
      <c r="I46" s="27"/>
      <c r="J46" s="27"/>
      <c r="K46" s="27"/>
      <c r="L46" s="27"/>
      <c r="M46" s="27"/>
      <c r="N46" s="27"/>
      <c r="O46" s="27"/>
      <c r="P46" s="27"/>
    </row>
    <row r="47" ht="22.7" customHeight="1" spans="1:16" x14ac:dyDescent="0.25">
      <c r="A47" s="18"/>
      <c r="B47" s="7"/>
      <c r="C47" s="7"/>
      <c r="D47" s="28" t="s">
        <v>8</v>
      </c>
      <c r="E47" s="37" t="s">
        <v>44</v>
      </c>
      <c r="F47" s="25" t="s">
        <v>45</v>
      </c>
      <c r="G47" s="25">
        <v>2</v>
      </c>
      <c r="H47" s="27" t="s">
        <v>32</v>
      </c>
      <c r="I47" s="27"/>
      <c r="J47" s="27"/>
      <c r="K47" s="27"/>
      <c r="L47" s="27"/>
      <c r="M47" s="27"/>
      <c r="N47" s="27"/>
      <c r="O47" s="27"/>
      <c r="P47" s="27"/>
    </row>
    <row r="48" ht="22.7" customHeight="1" spans="1:16" x14ac:dyDescent="0.25">
      <c r="A48" s="18"/>
      <c r="B48" s="7"/>
      <c r="C48" s="7"/>
      <c r="D48" s="28" t="s">
        <v>8</v>
      </c>
      <c r="E48" s="37" t="s">
        <v>46</v>
      </c>
      <c r="F48" s="25" t="s">
        <v>47</v>
      </c>
      <c r="G48" s="25">
        <v>3</v>
      </c>
      <c r="H48" s="27" t="s">
        <v>32</v>
      </c>
      <c r="I48" s="27"/>
      <c r="J48" s="27"/>
      <c r="K48" s="27"/>
      <c r="L48" s="27"/>
      <c r="M48" s="27"/>
      <c r="N48" s="27"/>
      <c r="O48" s="27"/>
      <c r="P48" s="27"/>
    </row>
    <row r="49" ht="22.7" customHeight="1" spans="1:16" x14ac:dyDescent="0.25">
      <c r="A49" s="18"/>
      <c r="B49" s="7"/>
      <c r="C49" s="7"/>
      <c r="D49" s="28" t="s">
        <v>8</v>
      </c>
      <c r="E49" s="37" t="s">
        <v>50</v>
      </c>
      <c r="F49" s="39" t="s">
        <v>51</v>
      </c>
      <c r="G49" s="25">
        <v>2</v>
      </c>
      <c r="H49" s="27" t="s">
        <v>32</v>
      </c>
      <c r="I49" s="27"/>
      <c r="J49" s="27"/>
      <c r="K49" s="27"/>
      <c r="L49" s="27"/>
      <c r="M49" s="27"/>
      <c r="N49" s="27"/>
      <c r="O49" s="27"/>
      <c r="P49" s="27"/>
    </row>
    <row r="50" ht="22.7" customHeight="1" spans="1:16" x14ac:dyDescent="0.25">
      <c r="A50" s="18"/>
      <c r="B50" s="7"/>
      <c r="C50" s="7"/>
      <c r="D50" s="28" t="s">
        <v>8</v>
      </c>
      <c r="E50" s="37" t="s">
        <v>53</v>
      </c>
      <c r="F50" s="25" t="s">
        <v>54</v>
      </c>
      <c r="G50" s="25">
        <v>5</v>
      </c>
      <c r="H50" s="27" t="s">
        <v>55</v>
      </c>
      <c r="I50" s="27"/>
      <c r="J50" s="27"/>
      <c r="K50" s="27"/>
      <c r="L50" s="27"/>
      <c r="M50" s="27"/>
      <c r="N50" s="27"/>
      <c r="O50" s="27"/>
      <c r="P50" s="27"/>
    </row>
    <row r="51" ht="22.7" customHeight="1" spans="1:16" x14ac:dyDescent="0.25">
      <c r="A51" s="18"/>
      <c r="B51" s="7"/>
      <c r="C51" s="7"/>
      <c r="D51" s="28" t="s">
        <v>8</v>
      </c>
      <c r="E51" s="37" t="s">
        <v>56</v>
      </c>
      <c r="F51" s="25" t="s">
        <v>57</v>
      </c>
      <c r="G51" s="25">
        <v>2</v>
      </c>
      <c r="H51" s="27" t="s">
        <v>150</v>
      </c>
      <c r="I51" s="27"/>
      <c r="J51" s="27"/>
      <c r="K51" s="27"/>
      <c r="L51" s="27"/>
      <c r="M51" s="27"/>
      <c r="N51" s="27"/>
      <c r="O51" s="27"/>
      <c r="P51" s="27"/>
    </row>
    <row r="52" ht="22.7" customHeight="1" spans="1:16" x14ac:dyDescent="0.25">
      <c r="A52" s="18"/>
      <c r="B52" s="7"/>
      <c r="C52" s="7"/>
      <c r="D52" s="38" t="s">
        <v>49</v>
      </c>
      <c r="E52" s="24" t="s">
        <v>58</v>
      </c>
      <c r="F52" s="25" t="s">
        <v>59</v>
      </c>
      <c r="G52" s="25">
        <v>10</v>
      </c>
      <c r="H52" s="40" t="s">
        <v>151</v>
      </c>
      <c r="I52" s="40"/>
      <c r="J52" s="40"/>
      <c r="K52" s="40"/>
      <c r="L52" s="40"/>
      <c r="M52" s="40"/>
      <c r="N52" s="40"/>
      <c r="O52" s="40"/>
      <c r="P52" s="40"/>
    </row>
    <row r="53" ht="22.7" customHeight="1" spans="1:16" x14ac:dyDescent="0.25">
      <c r="A53" s="18"/>
      <c r="B53" s="7"/>
      <c r="C53" s="7"/>
      <c r="D53" s="28" t="s">
        <v>8</v>
      </c>
      <c r="E53" s="37" t="s">
        <v>61</v>
      </c>
      <c r="F53" s="25" t="s">
        <v>62</v>
      </c>
      <c r="G53" s="25">
        <v>2</v>
      </c>
      <c r="H53" s="27" t="s">
        <v>42</v>
      </c>
      <c r="I53" s="27"/>
      <c r="J53" s="27"/>
      <c r="K53" s="27"/>
      <c r="L53" s="27"/>
      <c r="M53" s="27"/>
      <c r="N53" s="27"/>
      <c r="O53" s="27"/>
      <c r="P53" s="27"/>
    </row>
    <row r="54" ht="22.7" customHeight="1" spans="1:16" x14ac:dyDescent="0.25">
      <c r="A54" s="18"/>
      <c r="B54" s="7"/>
      <c r="C54" s="7"/>
      <c r="D54" s="28" t="s">
        <v>8</v>
      </c>
      <c r="E54" s="41" t="s">
        <v>63</v>
      </c>
      <c r="F54" s="25" t="s">
        <v>64</v>
      </c>
      <c r="G54" s="25">
        <v>4</v>
      </c>
      <c r="H54" s="42" t="s">
        <v>152</v>
      </c>
      <c r="I54" s="42"/>
      <c r="J54" s="42"/>
      <c r="K54" s="42"/>
      <c r="L54" s="42"/>
      <c r="M54" s="42"/>
      <c r="N54" s="42"/>
      <c r="O54" s="42"/>
      <c r="P54" s="42"/>
    </row>
    <row r="55" ht="22.7" customHeight="1" spans="1:16" x14ac:dyDescent="0.25">
      <c r="A55" s="18"/>
      <c r="B55" s="7"/>
      <c r="C55" s="7"/>
      <c r="D55" s="28" t="s">
        <v>8</v>
      </c>
      <c r="E55" s="24" t="s">
        <v>63</v>
      </c>
      <c r="F55" s="25" t="s">
        <v>66</v>
      </c>
      <c r="G55" s="25">
        <v>18</v>
      </c>
      <c r="H55" s="42" t="s">
        <v>153</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137</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48" t="s">
        <v>8</v>
      </c>
      <c r="E60" s="49" t="s">
        <v>154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76</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0.94</v>
      </c>
      <c r="G72" s="61"/>
      <c r="H72" s="61"/>
      <c r="I72" s="61"/>
      <c r="J72" s="61"/>
      <c r="K72" s="61"/>
      <c r="L72" s="61"/>
      <c r="M72" s="61"/>
      <c r="N72" s="61"/>
      <c r="O72" s="61"/>
      <c r="P72" s="61"/>
    </row>
    <row r="73" ht="27.95" customHeight="1" spans="1:16" x14ac:dyDescent="0.25">
      <c r="A73" s="52"/>
      <c r="B73" s="53"/>
      <c r="C73" s="53"/>
      <c r="D73" s="62"/>
      <c r="E73" s="63"/>
      <c r="F73" s="60">
        <v>0.82</v>
      </c>
      <c r="G73" s="64"/>
      <c r="H73" s="64"/>
      <c r="I73" s="64"/>
      <c r="J73" s="64"/>
      <c r="K73" s="64"/>
      <c r="L73" s="64"/>
      <c r="M73" s="64"/>
      <c r="N73" s="64"/>
      <c r="O73" s="64"/>
      <c r="P73" s="64"/>
    </row>
    <row r="74" ht="27.6" customHeight="1" spans="1:16" x14ac:dyDescent="0.25">
      <c r="A74" s="52"/>
      <c r="B74" s="53"/>
      <c r="C74" s="53"/>
      <c r="D74" s="65"/>
      <c r="E74" s="63"/>
      <c r="F74" s="60">
        <v>0.94</v>
      </c>
      <c r="G74" s="66"/>
      <c r="H74" s="66"/>
      <c r="I74" s="66"/>
      <c r="J74" s="66"/>
      <c r="K74" s="66"/>
      <c r="L74" s="66"/>
      <c r="M74" s="66"/>
      <c r="N74" s="66"/>
      <c r="O74" s="66"/>
      <c r="P74" s="66"/>
    </row>
    <row r="75" ht="27.6" customHeight="1" spans="1:16" x14ac:dyDescent="0.25">
      <c r="A75" s="52"/>
      <c r="B75" s="53"/>
      <c r="C75" s="53"/>
      <c r="D75" s="58"/>
      <c r="E75" s="67"/>
      <c r="F75" s="60">
        <v>0.98</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82</v>
      </c>
      <c r="C77" s="70"/>
      <c r="D77" s="71"/>
      <c r="E77" s="72"/>
      <c r="F77" s="73" t="s">
        <v>83</v>
      </c>
      <c r="G77" s="74" t="s">
        <v>84</v>
      </c>
      <c r="H77" s="75" t="s">
        <v>81</v>
      </c>
      <c r="I77" s="75"/>
      <c r="J77" s="75"/>
      <c r="K77" s="75"/>
      <c r="L77" s="75"/>
      <c r="M77" s="75"/>
      <c r="N77" s="75"/>
      <c r="O77" s="75"/>
      <c r="P77" s="75"/>
    </row>
    <row r="78" ht="22.7" customHeight="1" spans="1:16" x14ac:dyDescent="0.25">
      <c r="A78" s="69"/>
      <c r="B78" s="70"/>
      <c r="C78" s="70"/>
      <c r="D78" s="71"/>
      <c r="E78" s="76" t="s">
        <v>85</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155</v>
      </c>
      <c r="I79" s="82"/>
      <c r="J79" s="82"/>
      <c r="K79" s="82"/>
      <c r="L79" s="82"/>
      <c r="M79" s="82"/>
      <c r="N79" s="82"/>
      <c r="O79" s="82"/>
      <c r="P79" s="82"/>
    </row>
    <row r="80" ht="22.7" customHeight="1" spans="1:16" x14ac:dyDescent="0.25">
      <c r="A80" s="69"/>
      <c r="B80" s="70"/>
      <c r="C80" s="70"/>
      <c r="D80" s="71"/>
      <c r="E80" s="83"/>
      <c r="F80" s="63"/>
      <c r="G80" s="81"/>
      <c r="H80" s="84" t="s">
        <v>156</v>
      </c>
      <c r="I80" s="84"/>
      <c r="J80" s="84"/>
      <c r="K80" s="84"/>
      <c r="L80" s="84"/>
      <c r="M80" s="84"/>
      <c r="N80" s="84"/>
      <c r="O80" s="84"/>
      <c r="P80" s="84"/>
    </row>
    <row r="81" ht="22.7" customHeight="1" spans="1:16" x14ac:dyDescent="0.25">
      <c r="A81" s="69"/>
      <c r="B81" s="70"/>
      <c r="C81" s="70"/>
      <c r="D81" s="71"/>
      <c r="E81" s="85"/>
      <c r="F81" s="80"/>
      <c r="G81" s="81"/>
      <c r="H81" s="84" t="s">
        <v>157</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0" t="s">
        <v>8</v>
      </c>
      <c r="E84" s="91" t="s">
        <v>158</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159</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95" t="s">
        <v>17</v>
      </c>
      <c r="E113" s="49" t="s">
        <v>160</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161</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162</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163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164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108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165</v>
      </c>
      <c r="I37" s="27"/>
      <c r="J37" s="27"/>
      <c r="K37" s="27"/>
      <c r="L37" s="27"/>
      <c r="M37" s="27"/>
      <c r="N37" s="27"/>
      <c r="O37" s="27"/>
      <c r="P37" s="27"/>
    </row>
    <row r="38" ht="22.7" customHeight="1" spans="1:16" x14ac:dyDescent="0.25">
      <c r="A38" s="18"/>
      <c r="B38" s="7"/>
      <c r="C38" s="7"/>
      <c r="D38" s="28" t="s">
        <v>8</v>
      </c>
      <c r="E38" s="29" t="s">
        <v>26</v>
      </c>
      <c r="F38" s="30" t="s">
        <v>24</v>
      </c>
      <c r="G38" s="26">
        <v>20</v>
      </c>
      <c r="H38" s="27" t="s">
        <v>166</v>
      </c>
      <c r="I38" s="27"/>
      <c r="J38" s="27"/>
      <c r="K38" s="27"/>
      <c r="L38" s="27"/>
      <c r="M38" s="27"/>
      <c r="N38" s="27"/>
      <c r="O38" s="27"/>
      <c r="P38" s="27"/>
    </row>
    <row r="39" ht="22.7" customHeight="1" spans="1:16" x14ac:dyDescent="0.25">
      <c r="A39" s="18"/>
      <c r="B39" s="7"/>
      <c r="C39" s="7"/>
      <c r="D39" s="28" t="s">
        <v>8</v>
      </c>
      <c r="E39" s="29"/>
      <c r="F39" s="30" t="s">
        <v>24</v>
      </c>
      <c r="G39" s="26">
        <v>4</v>
      </c>
      <c r="H39" s="27" t="s">
        <v>167</v>
      </c>
      <c r="I39" s="27"/>
      <c r="J39" s="27"/>
      <c r="K39" s="27"/>
      <c r="L39" s="27"/>
      <c r="M39" s="27"/>
      <c r="N39" s="27"/>
      <c r="O39" s="27"/>
      <c r="P39" s="27"/>
    </row>
    <row r="40" ht="22.7" customHeight="1" spans="1:16" x14ac:dyDescent="0.25">
      <c r="A40" s="18"/>
      <c r="B40" s="7"/>
      <c r="C40" s="7"/>
      <c r="D40" s="28" t="s">
        <v>8</v>
      </c>
      <c r="E40" s="31" t="s">
        <v>29</v>
      </c>
      <c r="F40" s="32" t="s">
        <v>24</v>
      </c>
      <c r="G40" s="26">
        <v>8</v>
      </c>
      <c r="H40" s="33" t="s">
        <v>168</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42</v>
      </c>
      <c r="I43" s="27"/>
      <c r="J43" s="27"/>
      <c r="K43" s="27"/>
      <c r="L43" s="27"/>
      <c r="M43" s="27"/>
      <c r="N43" s="27"/>
      <c r="O43" s="27"/>
      <c r="P43" s="27"/>
    </row>
    <row r="44" ht="22.7" customHeight="1" spans="1:16" x14ac:dyDescent="0.25">
      <c r="A44" s="18"/>
      <c r="B44" s="7"/>
      <c r="C44" s="7"/>
      <c r="D44" s="28" t="s">
        <v>8</v>
      </c>
      <c r="E44" s="24" t="s">
        <v>38</v>
      </c>
      <c r="F44" s="25" t="s">
        <v>39</v>
      </c>
      <c r="G44" s="25">
        <v>1</v>
      </c>
      <c r="H44" s="27" t="s">
        <v>135</v>
      </c>
      <c r="I44" s="27"/>
      <c r="J44" s="27"/>
      <c r="K44" s="27"/>
      <c r="L44" s="27"/>
      <c r="M44" s="27"/>
      <c r="N44" s="27"/>
      <c r="O44" s="27"/>
      <c r="P44" s="27"/>
    </row>
    <row r="45" ht="22.7" customHeight="1" spans="1:16" x14ac:dyDescent="0.25">
      <c r="A45" s="18"/>
      <c r="B45" s="7"/>
      <c r="C45" s="7"/>
      <c r="D45" s="28" t="s">
        <v>8</v>
      </c>
      <c r="E45" s="24"/>
      <c r="F45" s="25" t="s">
        <v>41</v>
      </c>
      <c r="G45" s="25">
        <v>2</v>
      </c>
      <c r="H45" s="27" t="s">
        <v>113</v>
      </c>
      <c r="I45" s="27"/>
      <c r="J45" s="27"/>
      <c r="K45" s="27"/>
      <c r="L45" s="27"/>
      <c r="M45" s="27"/>
      <c r="N45" s="27"/>
      <c r="O45" s="27"/>
      <c r="P45" s="27"/>
    </row>
    <row r="46" ht="22.7" customHeight="1" spans="1:16" x14ac:dyDescent="0.25">
      <c r="A46" s="18"/>
      <c r="B46" s="7"/>
      <c r="C46" s="7"/>
      <c r="D46" s="28" t="s">
        <v>8</v>
      </c>
      <c r="E46" s="24"/>
      <c r="F46" s="25" t="s">
        <v>41</v>
      </c>
      <c r="G46" s="25">
        <v>8</v>
      </c>
      <c r="H46" s="27" t="s">
        <v>113</v>
      </c>
      <c r="I46" s="27"/>
      <c r="J46" s="27"/>
      <c r="K46" s="27"/>
      <c r="L46" s="27"/>
      <c r="M46" s="27"/>
      <c r="N46" s="27"/>
      <c r="O46" s="27"/>
      <c r="P46" s="27"/>
    </row>
    <row r="47" ht="22.7" customHeight="1" spans="1:16" x14ac:dyDescent="0.25">
      <c r="A47" s="18"/>
      <c r="B47" s="7"/>
      <c r="C47" s="7"/>
      <c r="D47" s="28" t="s">
        <v>8</v>
      </c>
      <c r="E47" s="37" t="s">
        <v>44</v>
      </c>
      <c r="F47" s="25" t="s">
        <v>45</v>
      </c>
      <c r="G47" s="25">
        <v>2</v>
      </c>
      <c r="H47" s="27" t="s">
        <v>32</v>
      </c>
      <c r="I47" s="27"/>
      <c r="J47" s="27"/>
      <c r="K47" s="27"/>
      <c r="L47" s="27"/>
      <c r="M47" s="27"/>
      <c r="N47" s="27"/>
      <c r="O47" s="27"/>
      <c r="P47" s="27"/>
    </row>
    <row r="48" ht="22.7" customHeight="1" spans="1:16" x14ac:dyDescent="0.25">
      <c r="A48" s="18"/>
      <c r="B48" s="7"/>
      <c r="C48" s="7"/>
      <c r="D48" s="28" t="s">
        <v>8</v>
      </c>
      <c r="E48" s="37" t="s">
        <v>46</v>
      </c>
      <c r="F48" s="25" t="s">
        <v>47</v>
      </c>
      <c r="G48" s="25">
        <v>3</v>
      </c>
      <c r="H48" s="27" t="s">
        <v>32</v>
      </c>
      <c r="I48" s="27"/>
      <c r="J48" s="27"/>
      <c r="K48" s="27"/>
      <c r="L48" s="27"/>
      <c r="M48" s="27"/>
      <c r="N48" s="27"/>
      <c r="O48" s="27"/>
      <c r="P48" s="27"/>
    </row>
    <row r="49" ht="22.7" customHeight="1" spans="1:16" x14ac:dyDescent="0.25">
      <c r="A49" s="18"/>
      <c r="B49" s="7"/>
      <c r="C49" s="7"/>
      <c r="D49" s="28" t="s">
        <v>8</v>
      </c>
      <c r="E49" s="37" t="s">
        <v>50</v>
      </c>
      <c r="F49" s="39" t="s">
        <v>51</v>
      </c>
      <c r="G49" s="25">
        <v>2</v>
      </c>
      <c r="H49" s="27" t="s">
        <v>48</v>
      </c>
      <c r="I49" s="27"/>
      <c r="J49" s="27"/>
      <c r="K49" s="27"/>
      <c r="L49" s="27"/>
      <c r="M49" s="27"/>
      <c r="N49" s="27"/>
      <c r="O49" s="27"/>
      <c r="P49" s="27"/>
    </row>
    <row r="50" ht="22.7" customHeight="1" spans="1:16" x14ac:dyDescent="0.25">
      <c r="A50" s="18"/>
      <c r="B50" s="7"/>
      <c r="C50" s="7"/>
      <c r="D50" s="28" t="s">
        <v>8</v>
      </c>
      <c r="E50" s="37" t="s">
        <v>53</v>
      </c>
      <c r="F50" s="25" t="s">
        <v>54</v>
      </c>
      <c r="G50" s="25">
        <v>5</v>
      </c>
      <c r="H50" s="27" t="s">
        <v>55</v>
      </c>
      <c r="I50" s="27"/>
      <c r="J50" s="27"/>
      <c r="K50" s="27"/>
      <c r="L50" s="27"/>
      <c r="M50" s="27"/>
      <c r="N50" s="27"/>
      <c r="O50" s="27"/>
      <c r="P50" s="27"/>
    </row>
    <row r="51" ht="22.7" customHeight="1" spans="1:16" x14ac:dyDescent="0.25">
      <c r="A51" s="18"/>
      <c r="B51" s="7"/>
      <c r="C51" s="7"/>
      <c r="D51" s="28" t="s">
        <v>8</v>
      </c>
      <c r="E51" s="37" t="s">
        <v>56</v>
      </c>
      <c r="F51" s="25" t="s">
        <v>57</v>
      </c>
      <c r="G51" s="25">
        <v>2</v>
      </c>
      <c r="H51" s="27" t="s">
        <v>150</v>
      </c>
      <c r="I51" s="27"/>
      <c r="J51" s="27"/>
      <c r="K51" s="27"/>
      <c r="L51" s="27"/>
      <c r="M51" s="27"/>
      <c r="N51" s="27"/>
      <c r="O51" s="27"/>
      <c r="P51" s="27"/>
    </row>
    <row r="52" ht="22.7" customHeight="1" spans="1:16" x14ac:dyDescent="0.25">
      <c r="A52" s="18"/>
      <c r="B52" s="7"/>
      <c r="C52" s="7"/>
      <c r="D52" s="28" t="s">
        <v>8</v>
      </c>
      <c r="E52" s="24" t="s">
        <v>58</v>
      </c>
      <c r="F52" s="25" t="s">
        <v>59</v>
      </c>
      <c r="G52" s="25">
        <v>10</v>
      </c>
      <c r="H52" s="40" t="s">
        <v>42</v>
      </c>
      <c r="I52" s="40"/>
      <c r="J52" s="40"/>
      <c r="K52" s="40"/>
      <c r="L52" s="40"/>
      <c r="M52" s="40"/>
      <c r="N52" s="40"/>
      <c r="O52" s="40"/>
      <c r="P52" s="40"/>
    </row>
    <row r="53" ht="22.7" customHeight="1" spans="1:16" x14ac:dyDescent="0.25">
      <c r="A53" s="18"/>
      <c r="B53" s="7"/>
      <c r="C53" s="7"/>
      <c r="D53" s="28" t="s">
        <v>8</v>
      </c>
      <c r="E53" s="37" t="s">
        <v>61</v>
      </c>
      <c r="F53" s="25" t="s">
        <v>62</v>
      </c>
      <c r="G53" s="25">
        <v>2</v>
      </c>
      <c r="H53" s="27" t="s">
        <v>42</v>
      </c>
      <c r="I53" s="27"/>
      <c r="J53" s="27"/>
      <c r="K53" s="27"/>
      <c r="L53" s="27"/>
      <c r="M53" s="27"/>
      <c r="N53" s="27"/>
      <c r="O53" s="27"/>
      <c r="P53" s="27"/>
    </row>
    <row r="54" ht="22.7" customHeight="1" spans="1:16" x14ac:dyDescent="0.25">
      <c r="A54" s="18"/>
      <c r="B54" s="7"/>
      <c r="C54" s="7"/>
      <c r="D54" s="28" t="s">
        <v>8</v>
      </c>
      <c r="E54" s="41" t="s">
        <v>63</v>
      </c>
      <c r="F54" s="25" t="s">
        <v>64</v>
      </c>
      <c r="G54" s="25">
        <v>4</v>
      </c>
      <c r="H54" s="42" t="s">
        <v>113</v>
      </c>
      <c r="I54" s="42"/>
      <c r="J54" s="42"/>
      <c r="K54" s="42"/>
      <c r="L54" s="42"/>
      <c r="M54" s="42"/>
      <c r="N54" s="42"/>
      <c r="O54" s="42"/>
      <c r="P54" s="42"/>
    </row>
    <row r="55" ht="22.7" customHeight="1" spans="1:16" x14ac:dyDescent="0.25">
      <c r="A55" s="18"/>
      <c r="B55" s="7"/>
      <c r="C55" s="7"/>
      <c r="D55" s="28" t="s">
        <v>8</v>
      </c>
      <c r="E55" s="24" t="s">
        <v>63</v>
      </c>
      <c r="F55" s="25" t="s">
        <v>66</v>
      </c>
      <c r="G55" s="25">
        <v>18</v>
      </c>
      <c r="H55" s="42" t="s">
        <v>169</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137</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48" t="s">
        <v>8</v>
      </c>
      <c r="E60" s="49" t="s">
        <v>170</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76</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0.75</v>
      </c>
      <c r="G72" s="61"/>
      <c r="H72" s="61"/>
      <c r="I72" s="61"/>
      <c r="J72" s="61"/>
      <c r="K72" s="61"/>
      <c r="L72" s="61"/>
      <c r="M72" s="61"/>
      <c r="N72" s="61"/>
      <c r="O72" s="61"/>
      <c r="P72" s="61"/>
    </row>
    <row r="73" ht="27.95" customHeight="1" spans="1:16" x14ac:dyDescent="0.25">
      <c r="A73" s="52"/>
      <c r="B73" s="53"/>
      <c r="C73" s="53"/>
      <c r="D73" s="62"/>
      <c r="E73" s="63"/>
      <c r="F73" s="60">
        <v>0.93</v>
      </c>
      <c r="G73" s="64"/>
      <c r="H73" s="64"/>
      <c r="I73" s="64"/>
      <c r="J73" s="64"/>
      <c r="K73" s="64"/>
      <c r="L73" s="64"/>
      <c r="M73" s="64"/>
      <c r="N73" s="64"/>
      <c r="O73" s="64"/>
      <c r="P73" s="64"/>
    </row>
    <row r="74" ht="27.6" customHeight="1" spans="1:16" x14ac:dyDescent="0.25">
      <c r="A74" s="52"/>
      <c r="B74" s="53"/>
      <c r="C74" s="53"/>
      <c r="D74" s="65"/>
      <c r="E74" s="63"/>
      <c r="F74" s="60">
        <v>0.98</v>
      </c>
      <c r="G74" s="66"/>
      <c r="H74" s="66"/>
      <c r="I74" s="66"/>
      <c r="J74" s="66"/>
      <c r="K74" s="66"/>
      <c r="L74" s="66"/>
      <c r="M74" s="66"/>
      <c r="N74" s="66"/>
      <c r="O74" s="66"/>
      <c r="P74" s="66"/>
    </row>
    <row r="75" ht="27.6" customHeight="1" spans="1:16" x14ac:dyDescent="0.25">
      <c r="A75" s="52"/>
      <c r="B75" s="53"/>
      <c r="C75" s="53"/>
      <c r="D75" s="58"/>
      <c r="E75" s="67"/>
      <c r="F75" s="60">
        <v>1</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82</v>
      </c>
      <c r="C77" s="70"/>
      <c r="D77" s="71"/>
      <c r="E77" s="72"/>
      <c r="F77" s="73" t="s">
        <v>83</v>
      </c>
      <c r="G77" s="74" t="s">
        <v>84</v>
      </c>
      <c r="H77" s="75" t="s">
        <v>81</v>
      </c>
      <c r="I77" s="75"/>
      <c r="J77" s="75"/>
      <c r="K77" s="75"/>
      <c r="L77" s="75"/>
      <c r="M77" s="75"/>
      <c r="N77" s="75"/>
      <c r="O77" s="75"/>
      <c r="P77" s="75"/>
    </row>
    <row r="78" ht="22.7" customHeight="1" spans="1:16" x14ac:dyDescent="0.25">
      <c r="A78" s="69"/>
      <c r="B78" s="70"/>
      <c r="C78" s="70"/>
      <c r="D78" s="71"/>
      <c r="E78" s="76" t="s">
        <v>85</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171</v>
      </c>
      <c r="I79" s="82"/>
      <c r="J79" s="82"/>
      <c r="K79" s="82"/>
      <c r="L79" s="82"/>
      <c r="M79" s="82"/>
      <c r="N79" s="82"/>
      <c r="O79" s="82"/>
      <c r="P79" s="82"/>
    </row>
    <row r="80" ht="22.7" customHeight="1" spans="1:16" x14ac:dyDescent="0.25">
      <c r="A80" s="69"/>
      <c r="B80" s="70"/>
      <c r="C80" s="70"/>
      <c r="D80" s="71"/>
      <c r="E80" s="83"/>
      <c r="F80" s="63"/>
      <c r="G80" s="81"/>
      <c r="H80" s="84" t="s">
        <v>172</v>
      </c>
      <c r="I80" s="84"/>
      <c r="J80" s="84"/>
      <c r="K80" s="84"/>
      <c r="L80" s="84"/>
      <c r="M80" s="84"/>
      <c r="N80" s="84"/>
      <c r="O80" s="84"/>
      <c r="P80" s="84"/>
    </row>
    <row r="81" ht="22.7" customHeight="1" spans="1:16" x14ac:dyDescent="0.25">
      <c r="A81" s="69"/>
      <c r="B81" s="70"/>
      <c r="C81" s="70"/>
      <c r="D81" s="71"/>
      <c r="E81" s="85"/>
      <c r="F81" s="80"/>
      <c r="G81" s="81"/>
      <c r="H81" s="84" t="s">
        <v>173</v>
      </c>
      <c r="I81" s="84"/>
      <c r="J81" s="84"/>
      <c r="K81" s="84"/>
      <c r="L81" s="84"/>
      <c r="M81" s="84"/>
      <c r="N81" s="84"/>
      <c r="O81" s="84"/>
      <c r="P81" s="84"/>
    </row>
    <row r="82" ht="22.7" customHeight="1" spans="1:16" x14ac:dyDescent="0.25">
      <c r="A82" s="69"/>
      <c r="B82" s="70"/>
      <c r="C82" s="70"/>
      <c r="D82" s="71"/>
      <c r="E82" s="79"/>
      <c r="F82" s="86"/>
      <c r="G82" s="81"/>
      <c r="H82" s="84" t="s">
        <v>174</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0" t="s">
        <v>8</v>
      </c>
      <c r="E84" s="91" t="s">
        <v>175</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176</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95" t="s">
        <v>17</v>
      </c>
      <c r="E113" s="49" t="s">
        <v>177</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178</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162</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8.17.26</vt:lpstr>
      <vt:lpstr>Tuesday 8.18.26</vt:lpstr>
      <vt:lpstr>Wednesday 8.19.26</vt:lpstr>
      <vt:lpstr>Thursday 8.20.26</vt:lpstr>
      <vt:lpstr>Friday 8.21.26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