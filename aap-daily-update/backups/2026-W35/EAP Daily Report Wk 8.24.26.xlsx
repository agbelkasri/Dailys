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24.26" state="visible" r:id="rId4"/>
    <sheet sheetId="2" name="Tuesday 8.25.26" state="visible" r:id="rId5"/>
    <sheet sheetId="3" name="Wednesday 8.26.26" state="visible" r:id="rId6"/>
    <sheet sheetId="4" name="Thursday 8.27.26" state="visible" r:id="rId7"/>
    <sheet sheetId="5" name="Friday 8.28.26" state="visible" r:id="rId8"/>
  </sheets>
  <calcPr calcId="171027"/>
</workbook>
</file>

<file path=xl/sharedStrings.xml><?xml version="1.0" encoding="utf-8"?>
<sst xmlns="http://schemas.openxmlformats.org/spreadsheetml/2006/main" count="760" uniqueCount="163">
  <si>
    <t xml:space="preserve">Email daily to:  Rav Sandhu, Sherree Martin,  Ron Scott, Adrian Silva, Yvonne Rodriguez, Kofi Oduro, Melissa Gardynik; Scott Jones
Email report daily at 5 pm.</t>
  </si>
  <si>
    <t>EAP Daily Update - Monday 8.24.26 -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</si>
  <si>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</si>
  <si>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</si>
  <si>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</si>
  <si>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</si>
  <si>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</si>
  <si>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</si>
  <si>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</si>
  <si>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</si>
  <si>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Termed Steve Baughman
New Hire:  
Total EAP Employees minus LOA                                          
DL:  37         (1st -24  - 2nd 13)  
DL: PT - 1      2nd shift - Desmond Brown T-F (8-12 hrs.)                                                                                        
IDL:   22       (1st 16 - 2nd 6)
Total Present:
DL =  1st - 24,  2nd - 13                                                                                                                                                                                                                                             IDL PT = 1
IDL = 21
Planned Absenteeism:
DL:  1st shift: 
IDL:  1st shift:  
DL: 2nd Shift:  
IDL: 2nd Shift:  
Unplanned Absenteeism (call off/leave early):
DL 1st shift - 
IDL 1st Shift - 
DL 2nd Shift - 
IDL 2nd Shift:  
Other:  LOA -DL -Jerry Weick (ERTW September - December), Merritt Higgins (TBD)</t>
  </si>
  <si>
    <t>Current Year Program EOP</t>
  </si>
  <si>
    <t xml:space="preserve">Guelph RDX - April 2026
GM A2SL (CT4) - June 2026</t>
  </si>
  <si>
    <t>Michelle</t>
  </si>
  <si>
    <t>Prem. Freight / Customer Notes</t>
  </si>
  <si>
    <t>No premium freight.</t>
  </si>
  <si>
    <t>On Time Delivery</t>
  </si>
  <si>
    <t>No shortages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</si>
  <si>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</si>
  <si>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</si>
  <si>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</si>
  <si>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</si>
  <si>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</si>
  <si>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</si>
  <si>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 xml:space="preserve">Inventory coverage until 8/28.
5300920/5301824 running in PA118. </t>
  </si>
  <si>
    <t>Adient - Lakewood</t>
  </si>
  <si>
    <t>Inventory coverage until 9/2.</t>
  </si>
  <si>
    <t xml:space="preserve">Inventory coverage until 8/27.
32495 running in PA116. </t>
  </si>
  <si>
    <t>GM - BWLGRN</t>
  </si>
  <si>
    <t xml:space="preserve">Inventory coverage until 8/27.
64310 job 2 in PA116. </t>
  </si>
  <si>
    <t>C1UL</t>
  </si>
  <si>
    <t>Inventory coverage until 9/6.</t>
  </si>
  <si>
    <t>Y1XX</t>
  </si>
  <si>
    <t>Inventory coverage until 2/1/2027</t>
  </si>
  <si>
    <t>GM-Factory Zero</t>
  </si>
  <si>
    <t>BT1TL</t>
  </si>
  <si>
    <t>Inventory coverage until 8/31.</t>
  </si>
  <si>
    <t>GM-Wentzville</t>
  </si>
  <si>
    <t>D2UC</t>
  </si>
  <si>
    <t>Inventory coverage until 9/4</t>
  </si>
  <si>
    <t>GMT610</t>
  </si>
  <si>
    <t>Inventory coverage until 10/15.</t>
  </si>
  <si>
    <t>Inventory coverage until 8/31</t>
  </si>
  <si>
    <t>GAP</t>
  </si>
  <si>
    <t>WS</t>
  </si>
  <si>
    <t>Y</t>
  </si>
  <si>
    <t>OP M (HBPO)</t>
  </si>
  <si>
    <t>RU</t>
  </si>
  <si>
    <t xml:space="preserve">Inventory coverage until 8/26.
Roundtrip from Midwest tomorrow. </t>
  </si>
  <si>
    <t>Metalsa</t>
  </si>
  <si>
    <t>UX71</t>
  </si>
  <si>
    <t>Inventory coverage until 9/7</t>
  </si>
  <si>
    <t>SLP</t>
  </si>
  <si>
    <t>KM EJ</t>
  </si>
  <si>
    <t>Inventory coverage until 9/30</t>
  </si>
  <si>
    <t>Stellantis</t>
  </si>
  <si>
    <t>LB</t>
  </si>
  <si>
    <t>Toyo-Imlay City</t>
  </si>
  <si>
    <t>500B</t>
  </si>
  <si>
    <t>Toyo-Tennesee</t>
  </si>
  <si>
    <t>L42P</t>
  </si>
  <si>
    <t>Voestalpine</t>
  </si>
  <si>
    <t>G01</t>
  </si>
  <si>
    <t>Inventory coverage until 9/3</t>
  </si>
  <si>
    <t>BR167</t>
  </si>
  <si>
    <t xml:space="preserve">Inventory coverage until 8/27.
151/153 running in PA120. </t>
  </si>
  <si>
    <t>Michele</t>
  </si>
  <si>
    <t>SERVICE</t>
  </si>
  <si>
    <t xml:space="preserve">~12554816, 20762481 and 20762482 complete for this week's CCA truck. 
~23429897/23429898: GM Argentina order, waiting on commercial resolution. 
~12608820: Received updated North American pricing for GM Korea. Waiting on customer to update release to MOQ of 500pcs. JP looking for steel. 
~22799575: Pending direction from GM CCA team, Michelle Cholger.  RA submitted to determine if part is being discontinued and GM team reviewing quote.</t>
  </si>
  <si>
    <t>Jeff Potter</t>
  </si>
  <si>
    <t>Supplier Issues</t>
  </si>
  <si>
    <t>Koil mill order running behind for HBPO refurb bank requirements, waiting on ETA.</t>
  </si>
  <si>
    <t>John W</t>
  </si>
  <si>
    <t>Labor / Overtime</t>
  </si>
  <si>
    <t>No overtime.</t>
  </si>
  <si>
    <t>John W.</t>
  </si>
  <si>
    <t xml:space="preserve">Daily Efficiency
85%&gt; = Green
69-84% = Yellow
69% &lt; = Red</t>
  </si>
  <si>
    <t>Work Center Group</t>
  </si>
  <si>
    <t>%</t>
  </si>
  <si>
    <t>Notes</t>
  </si>
  <si>
    <t>Downtime Analysis</t>
  </si>
  <si>
    <t>TTL Hours</t>
  </si>
  <si>
    <t>Reason Percentage</t>
  </si>
  <si>
    <t>Daily DT</t>
  </si>
  <si>
    <t xml:space="preserve">PA120: ormec fault. 
PA119: Voest oil sprayers not working. Hyrda guard fault. 
PA116: Light curtains going bad. 
WC59: adjustments after C/O.
WC40: robot down. </t>
  </si>
  <si>
    <t xml:space="preserve">PA120: holes not pinning. Scrap not cutting off. 153 outer.
PA119: low nitro on 806/807. 
PA118: Pulled hole, feeler fail and hole burrs on flip die. 
PA116: feeler fail on 89052.
PA115: part sticking to upper. 
PA50: feeler fail. </t>
  </si>
  <si>
    <t xml:space="preserve">1st shift 8/24:
PA118 - strip and set 5300920/1824 (2.3hrs)
PA119 - set 724806S00B/807 (1.06hrs)
PA115 - set 3590431 (.5hrs)
PA120 - set 724151H12C (.95hrs)
PA110 - set 3864768 (.5hrs)</t>
  </si>
  <si>
    <t>WC59 - set 87840104</t>
  </si>
  <si>
    <t>Operations Update - Critical Issues</t>
  </si>
  <si>
    <t>R</t>
  </si>
  <si>
    <t xml:space="preserve">2nd shift 8/21:   
PA120 - part tracking, finger adjustments, moved trap on OP70 (.5hrs)
PA116 - mandrel not turning (.68hrs)
1st shift 8/24:
PA120 - ORMEC fault, scrap not cutting off clean OP30, two side holes not pinning (1.52hrs)
PA119 - hydra guard pressure fault, low nitro, 2 sensors not working, oil sprayer not working (2.5hrs)
PA118 - pulled hole, feeler fail, hole burrs, gripper adjustment (3.3hrs)
PA116 - faulty rear light curtains, feeler fail two locations (5.51hrs)
PA115 - parts sticking to upper at the cut-off, bad shutter pin (.97hrs)
PA50 - feeler fail (.14hrs)
WC59 - adjusted side "B" (.86hrs)
WC40 - welder still down, Diego out trying to help. Ray and Savannah helping as of 3pm.</t>
  </si>
  <si>
    <t>MFG Mishit Reports</t>
  </si>
  <si>
    <t>None</t>
  </si>
  <si>
    <t>Housekeeping</t>
  </si>
  <si>
    <t xml:space="preserve">Cleaned bathrooms
Cleaned lunch area
Dumped trash
Worked on floors. 
Cleaned compressor area.</t>
  </si>
  <si>
    <t>Change Overs</t>
  </si>
  <si>
    <t>Scott</t>
  </si>
  <si>
    <t>TOOLING</t>
  </si>
  <si>
    <t xml:space="preserve">8/24 1ST SHIFT:
C80003/103: 100% - SENSORS/BOTTOMING BLOCKS/CLEAR STRIPPER. 11.00 HOURS. GREG AND JEFF CONTINUING MAKING IMPROVEMENTS
C80001/101: 90% - INITIAL REVIEW. 8.37 HOURS. ZACH HAS BEGUN MOUNTING TO PLATE TO RUN IN PA118.
C93624/5: 50% - BOLT CHECK FORMS. 4.83 HOURS.
C79305/405: 80% - FPM. 1.38 HOURS
3864747: 40% - FEELER FAIL. 2.43 HOURS
PRESS CALLS: 
PA118: C00920/01824 - FEELER/PULLED HOLE/BURR. 2.57 HOURS. MERLIN ADJUSTED FOR FEELER. USED LUBE FOR PULLED HOLE. SUBMITTED FOR F/O. AUDITOR THEN FOUND ON OPPOSITE PART A HOLE BURR. MERLIN SHARPENED PUNCH.
PA115: 3590431 - PART STICKING TO TOP. 1.02 HOURS. REPAIRED VLIER. STILL STICKINGING. MERLIN WIPED OFF LUBE THAT SAT ALL WEEKEND AND WE WERE GOOD TO GO. 
SCHEDULED/UNSCHEDULED:
GREG WEICK: 8.36/0 = 8.36 HOURS
MERLIN TACKETT: 4.83/3.59 = 8.42 HOURS
JEFF ROSE: 8.45/0 = 8.45 HOURS
ZACH BRAMIGK: 8.37/0 = 8.37 HOURS
TOOLING DOWNTIME: 3.59 HOURS
WORKCENTER LOGS: 5.51 HOURS</t>
  </si>
  <si>
    <t>Diego</t>
  </si>
  <si>
    <t>Maintenance</t>
  </si>
  <si>
    <t xml:space="preserve">PA 116: Light curtain faulting out. Ended up swapping out light curtains. 
PA 119: *No power on North side of press. Found wires disconnected in the pit from this past weekend. 
*Sensors not working on the rear of press, found that someone wired them up wrong and caused a short. Fixed wiring, and powered down system to reset 24v circuit. 
*Parts Sprayer not working, found bad spray head, cleaned it and it leaked, replaced it with new head. 
WC40- Diego came out today and tried to figure out how to get it running, but could not get it. Looking to get Tech Ops to come out in the next day or two..</t>
  </si>
  <si>
    <t>Yvonne</t>
  </si>
  <si>
    <t>Quality Concerns</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</si>
  <si>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Customer | 4189066 | Oversized Hole, investigating issue now. 
Supplier |  | No new issues
Internal |  | No new issues
Customer | 2002 - Latch bridge | op mobility - USF concerned with roughness on surface. Part of refurb plan. Yvonne/Ron to reply. </t>
  </si>
  <si>
    <t>EAP Daily Update - Tuesday 8.25.26 - Submitted to Executive Team by 5 pm</t>
  </si>
  <si>
    <t xml:space="preserve">2026 Q3 DL Requirement: 41
Staffing Changes: 
New Hire:  
Total EAP Employees minus LOA                                          
DL:  37         (1st -24  - 2nd 13)  
DL: PT - 1      2nd shift - Desmond Brown T-F (8-12 hrs.)                                                                                        
IDL:   22       (1st 16 - 2nd 6)
Total Present:
DL =  1st - 24,  2nd - 13                                                                                                                                                                                                                                             IDL PT = 1
IDL = 21
Planned Absenteeism:
DL:  1st shift: 
IDL:  1st shift:  
DL: 2nd Shift:  
IDL: 2nd Shift:  
Unplanned Absenteeism (call off/leave early):
DL 1st shift - 
IDL 1st Shift - 
DL 2nd Shift -
IDL 2nd Shift:  
Other:  LOA -DL -Jerry Weick (ERTW September - December), Merritt Higgins (TBD)</t>
  </si>
  <si>
    <t xml:space="preserve">No shortages
Adient Eldon requesting to pull next week's requirements on 10 PN's ahead into this week. We have parts for everything, but we do not have enough customer containers to cover the 4 larger black oxide parts. We will pack all available containers to ship this week. Adient is trying to send an extra trailer with empties asap.</t>
  </si>
  <si>
    <t>Inventory coverage until 9/2</t>
  </si>
  <si>
    <t xml:space="preserve">Inventory coverage until 8/27.
64310 next in PA116.</t>
  </si>
  <si>
    <t xml:space="preserve">Inventory coverage until 9/4. </t>
  </si>
  <si>
    <t>Inventory coverage until 9/6</t>
  </si>
  <si>
    <t xml:space="preserve">Inventory coverage until 8/31 (parts at Detroit Coatings) </t>
  </si>
  <si>
    <t>Inventory coverage until 8/31 (shipping Wednesday)</t>
  </si>
  <si>
    <t xml:space="preserve">~12554816, 20762481 and 20762482 complete for this week's CCA truck. 
~23429897/23429898: GM Argentina order, waiting on commercial resolution. 
~12608820: JP looking for steel. 
~22799575: Pending direction/review of 1804 from GM CCA team, will not be discontinued.</t>
  </si>
  <si>
    <t xml:space="preserve">PA116: mandrel not rotating. 
WC39: water leak.
WC40: robot down. 
PA110: down for de-coiler. Low priority.
PS92: break monitor fault. </t>
  </si>
  <si>
    <t xml:space="preserve">PA4: burr and feeler fail.
PA111: trim burr, scrap marks. </t>
  </si>
  <si>
    <t xml:space="preserve">2nd shift 8/24:
PA116 - set 2332495 (1.5hrs)
PA120 - set 724151H12C (.25hrs)
1st shift 8/25:
PA4 - set 3871179/3942582 (1.43hrs)
PA50 - set 3696845 (1.05hrs)
PA115 - set 3864766 (.57hrs)</t>
  </si>
  <si>
    <t>WC59 - set 85609494 (.15hrs)</t>
  </si>
  <si>
    <t xml:space="preserve">2nd shift 8/24:   
PA120 - holes not pinning, lube fault, clamp "B" motor fault x3, rebooting transfer x2, broken stamp retainer (1.25hrs)
PA110 - uncoiler mandrel seal shaft Hydraulic leak
1st shift 8/25:
PA119 - finger sensor fault (.14hrs)
PA118 - finger adjustment (.29hrs
PA116 - mandrel not rotating (3.3hrs)
PA4 - burr, feeler fail (2.38hrs)
PA111 - trim burr, scrap marks (1.04hrs)
WC39 - water leak (.63hrs)
WC40 - robot down</t>
  </si>
  <si>
    <t xml:space="preserve">Cleaned bathrooms
Cleaned lunch area
Dumped trash
Worked on floors.</t>
  </si>
  <si>
    <t xml:space="preserve">8/24 2ND SHIFT:
C15013/15207: 80% - TRIM AND HOLE BURR. .6 HOURS
724151H10B: 60% - HOLE BURRS. 6.52 HOURS
3864569: 70% - FPM 8.4 HOURS
PRESS CALLS:
PA120: C15112/15312 - HOLES NOT PINNING/SCRAP CARRYING THROUGH DIE. 3.54 HOURS. BO ADJUSTED TRAP GAGES FOR HOLES. ADJUSTED UPPER TRIM FOR SCRAP.
SCHEDULED/UNSCHEDULED:
JESSE DENNIS: 6.52/3.54 = 10.06 HOURS
JOHN GREEN: 8.4/0 = 8.4 HOURS
TOOLING DOWNTIME: 3.54 HOURS
WORKCENTER LOGS: 1.48 HOURS
8/25 1ST SHIFT:
C80001/101: 95% - INITIAL REVIEW. 4.17 HOURS. JUST NEED TO BOLT DOWN TO SUBPLATE
C93624/5: 80% - BOLT CHECK FORMS.  5.75 HOURS.
C79305/405: 90% - FPM. 8.45 HOURS
3864747: 100% - FEELER FAIL. 10.47 HOURS
PRESS CALLS: 
 PA111: 3976391 - TRIM BURRS. 2.57 HOURS. MERLIN SHARPENED 2 LOWER TRIM STEELS.
PS10: 48073-10/64889-10 - .15 HOURS. MERLIN CLEARED BAD PART.
SCHEDULED/UNSCHEDULED:
GREG WEICK: 8.45/0 = 8.45 HOURS
MERLIN TACKETT: 5.75/2.72 = 8.47 HOURS
JEFF ROSE: 10.47/0 = 10.47 HOURS
ZACH BRAMIGK: 4.17/4.23 = 8.4 HOURS
TOOLING DOWNTIME: 4.95 HOURS
WORKCENTER LOGS: 3.77 HOURS</t>
  </si>
  <si>
    <t xml:space="preserve">PA 116: Un-Coiler will not spin. found Solenoid valve is not actuating electronically, it will actuate manual but not electronically. Swapped the valve and same issue. I will look into it further when I get WC-40 going, the press can still run once we engage it manually. 
PA 110: Down due to the Uncoiler cylinder. 
WC40- Tec Options out today to help with robot issues. The guy they sent was a PLC guy not a Robot tech. He assisted with figuring out the issue of why the Cell will not go into manual. Diego determined it was not the power supply as previously thought. found that the error is coming from the Device net board. The board is not being used so we bypassed it. Error went away and we were able to get the cell to go into manual, but we are still getting a fault on the robot saying the cell E-stop is not good, but it is. Ray is troubleshooting from there. Diego came out today and tried to figure out how to get it running, but could not get it. Looking to get Tech Ops to come out in the next day or two.. 
PS 92: Brake Monitor faults: Air pressure set at 50 psi, turned up to 70 psi and no further issues. 
WC-39: Water Leak: Replaced bad fitting. 
PS 10: Brake Monitor faults: Adjusted air pressure.</t>
  </si>
  <si>
    <t>EAP Daily Update - Wednesday 8.26.26 - Submitted to Executive Team by 5 pm</t>
  </si>
  <si>
    <t xml:space="preserve">2026 Q3 DL Requirement: 41
Staffing Changes: Termed Steve Baughman
New Hire:  
Total EAP Employees minus LOA                                          
DL:  37         (1st -24  - 2nd 13)  
DL: PT - 1      2nd shift - Desmond Brown T-F (8-12 hrs.)                                                                                        
IDL:   22       (1st 16 - 2nd 6)
Total Present:
DL =  1st - 21,  2nd - 12                                                                                                                                                                                                                                             IDL PT = 1
IDL = 21
Planned Absenteeism:
DL:  1st shift: Zaki Iskandaron
IDL:  1st shift:  
DL: 2nd Shift:  Clinton Walter
IDL: 2nd Shift:  
Unplanned Absenteeism (call off/leave early):
DL 1st shift - Chelsea Kreitner
IDL 1st Shift - 
DL 2nd Shift -
IDL 2nd Shift:  
Other:  LOA -DL -Jerry Weick (ERTW September - December), Merritt Higgins (TBD)</t>
  </si>
  <si>
    <t xml:space="preserve">No premium freight. 
HBPO advised they will be issuing bank PO Monday. JP working on steel ETA's so we can give bank timing.</t>
  </si>
  <si>
    <t xml:space="preserve">No shortages
Adient Matamoros: 3864310 getting set in PA116 tonight. Owe 4000pcs tomorrow evening, have 2800pcs. Will run first thing in the morning.</t>
  </si>
  <si>
    <t xml:space="preserve">Inventory coverage until 8/27.
64310 setting in PA116 tonight.</t>
  </si>
  <si>
    <t xml:space="preserve">~12554816, 20762481 and 20762482 shipped in full. 
~23429897/23429898: GM Argentina order, waiting on commercial resolution. 
~12608820: JP looking for steel and issuing heat treat/zinc PO's. 
~22799575: Pending direction/review of 1804 from GM CCA team, will not be discontinued.</t>
  </si>
  <si>
    <t xml:space="preserve">PA119: press stopping on up-stroke (reverse tonnage issue). Then transfer wouldn't move. 
PA116: bad valve on reel. 
PA111: bad wiring. 
PW27: replaced electrode. 
WC40: robot down. </t>
  </si>
  <si>
    <t xml:space="preserve">PA120: side holes not pinning.
PA118: spike burr.
PA115: hole burr.
PA4: hole burr. Broken punch. </t>
  </si>
  <si>
    <t xml:space="preserve">PA119 - set Ford C80003/103 2hrs. Then building  grippers most of day.
PA118 - set Ford C80001/101 2hrs. Plate too large, die wouldn't fit under transfer. Changing plates. 
PA111 - set 3989858 1.1hrs</t>
  </si>
  <si>
    <t xml:space="preserve">2nd shift 8/25:   
PA120 - scrap jam OP50, coil buckled had to cut in half (.6hrs)
PA119 - transfer fault but no code x2, part sticking to the upper x7 (.8hrs)
PA4 - burrs, scrap chute issues, pulled scrap (1.25hrs)
PS10 - 3 second delay when hitting each part (.66hrs)
PA118 - spike burr (1.25hrs)
1st shift 8/26:
PA120 - side square hole not pinning, 1 SPC at 1.05 (3.21hrs)
PA119 - spent most of the day developing the grippers and the program, press is stopping on the way up after each cycle (reverse tonnage fault), transfer wouldn't move (6.75hrs)
PA118 - spike burr, die (Ford) too tall to pass under the transfer. Have to change plates and drill (7.13hrs)
PA116 - bad valve on coil reel (1.85hrs)
PA115 - hole burr, bad alignment (1.53hrs)
PA111 - neutral wire came loose from the power strip (1.3hrs)
PA4 - hole burr, broken punch (4.5hrs)
PW27 - replaced new upper electrode (.3hrs)</t>
  </si>
  <si>
    <t xml:space="preserve">8/25 2ND SHIFT:
C15013/15207: 90% - TRIM AND HOLE BURR. 2.95 HOURS
724151H10B: 100% - HOLE BURRS. 4.42 HOURS
3864569: 90% - FPM 6..05 HOURS
PRESS CALLS:
PA4: C42582/71159 - PULLING SCRAP. .88 HOURS. BO SHARPENED UPPER CUTOFF PUNCH AND SHIMMED DOWN .100". FOUND OUT ON 1ST 8/26 THAT OPERATOR ADJUSTED SHAKER WHICH BLOCKED SCRAP AT SHAKER.
PA118: C00920/01824 - CAM TRIM BURR. 1.73 HOURS. BO HAD LOWER ROLLED OUT, PULLED CAM TRIMS. 1ST SHIF TTO CONTNIUE.
SCHEDULED/UNSCHEDULED:
JESSE DENNIS: 7.37/2.61 = 9.98 HOURS
JOHN GREEN: 6.05/0 = 6.05 HOURS (LEFT EARLY SICK)
TOOLING DOWNTIME: 2.61 HOURS
WORKCENTER LOGS: 3 HOURS
8/26 1ST SHIFT:
C790305/405: 100% - FPM. 3.11 HOURS
C80001/101: 100% - MOUNT TO PLATE. 4.14 HOURS
3627753: 30% - FEELER FAIL. 3.97 HOURS
C46893: 30% - TRIM BURR/CHANGE OVER. 1.18 HOURS
PRESS CALLS: 
PA118: C00920/1824 - TRIM BURR/DOWN PILOT. 1.97 HOURS. JEFF REPAIRED TRIM AND ZACH WAS GOING TO REPAIR PILOT BUT CALL WAS MADE TO PULL.
PA4: C42582/71159 - HOLE BURR/BROKE CAM PIERCE PUNCH. 4.57 HOURS. GREG REAPAIRED HOLE BURR. BUT BACK CAM PUNCH BROKE TWICE AND THEN FRONT CAM PUNCH BROKE. 
PA120: C15112 - HOLE OFF LOCATION. 4.89 HOURS. ZACH LEARNING THE B-PILLARS, WENT WRONG WAY ON HOLE MOVE RELIAZED WHAT HE DID. HES LEARNING. 
PA115: 3864766 - HOLE BURR. 1.2 HOURS. ZACH SHARPENED PUNCH AND BUTTON. 
SCHEDULED/UNSCHEDULED:
GREG WEICK: 3.27/4.57 = 7.84 HOURS
MERLIN TACKETT:  CALLED IN
JEFF ROSE: 8.71/1.7 = 10.41 HOURS
ZACH BRAMIGK: 1.18/6.71 = 7.87 HOURS
TOOLING DOWNTIME: 12.98 HOURS
WORKCENTER LOGS:  10.65 HOURS</t>
  </si>
  <si>
    <t>EAP Daily Update - Thursday 8.27.26 - Submitted to Executive Team by 5 pm</t>
  </si>
  <si>
    <t xml:space="preserve">2026 Q3 DL Requirement: 41
Staffing Changes:                           
New Hire:  
Total EAP Employees minus LOA                                          
DL:  37         (1st -25  - 2nd 13)  
DL: PT - 1      2nd shift - Desmond Brown T-F (8-12 hrs.)                                                                                        
IDL:   22       (1st 16 - 2nd 6)
Total Present:
DL =  1st - 24,  2nd - 12                                                                                                                                                                                                                                             IDL PT = 1
IDL = 21
Planned Absenteeism:
DL:  1st shift: Tracey Stecker
IDL:  1st shift:  Tom Pulley
DL: 2nd Shift:  Betty Halcomb
IDL: 2nd Shift:  
Unplanned Absenteeism (call off/leave early):
DL 1st shift - 
IDL 1st Shift - 
DL 2nd Shift -
IDL 2nd Shift:  
Other:  LOA -DL -Jerry Weick (ERTW September - December), Merritt Higgins (TBD)</t>
  </si>
  <si>
    <t xml:space="preserve">Inventory coverage until 9/3.
64310 running in PA116. </t>
  </si>
  <si>
    <t xml:space="preserve">Inventory coverage until 8/31 
Midwest roundtrip Friday.</t>
  </si>
  <si>
    <t>Inventory coverage until 9/1</t>
  </si>
  <si>
    <t xml:space="preserve">~12554816, 20762481 and 20762482 shipped in full. 
~23429897/23429898: GM Argentina order, waiting on commercial resolution. 
~12608820: Steel ETA 9/8. Stamp, heat treat and zinc (roughly 2 weeks after steel arrives). 
~22799575: Pending direction/review of 1804 from GM CCA team, will not be discontinued.</t>
  </si>
  <si>
    <t>Koil mill order running behind. Late September ETA.</t>
  </si>
  <si>
    <t xml:space="preserve">PA120: ormac fault. Transfer wouldn't go home. 
PA119: press stopping on up-stroke. 
PA116: coil reel wouldn't move. 
WC40: down for repair. ICR out. 
WC39: cold welds. </t>
  </si>
  <si>
    <t xml:space="preserve">PA120: Holes not pinning. High SPC. 
PA118: Strip sticking. Had to pull. 
PA115: trim burr. 
PA111: feeler fail. Scrap in die. 
PA4: feeler fails. </t>
  </si>
  <si>
    <t xml:space="preserve">1st shift 8/27:
PA111 - set 3898958 (.75hrs)
PA116 - set 3864310 (1.03hrs)
PA50 - set 25753607 (1.3hrs)</t>
  </si>
  <si>
    <t xml:space="preserve">2nd shift 8/26:   
PA120 - holes not pinning, "B" side shuttle stock absorber fell out - missing a bracket, gauge SPC too high 1.07, scrap in die OP50 (1.5hrs)
PA4 - CAM sticking, strip sticking to upper, pulling slugs (3hrs)
PA116 - un-coiler straight lined x2 (.16hrs)
1st shift 8/27:
PA120 - chipped button, ORMEC fault, transfer wouldn't go in home position (3.23hrs)
PA119 - several times the press would stop on the upstroke, front and rear grippers collided with the die, replace 2 receivers, fine tuning grippers. Plan to run small quantity tomorrow morning. Home-line trial will be rescheduled for next week as soon as tooling modifies plate for scrap fall. (7.5hrs)
PA118 - strip sticking, see tooling update. Will plan to go back in next Tuesday for home-line trial (7hrs)
PA116 - coil reel wouldn't move (3.99hrs)
PA115 - trim burr (6.25hrs)
PA111 - feeler fail, scrap in the die (2.25hrs)
PA4 - several feeler fails (4hrs)
WC40 - down for repair, ICR and maintenance worked on the cell (7.5hrs)
WC39 - cold welds (.9hrs)</t>
  </si>
  <si>
    <t xml:space="preserve">8/26 2ND SHIFT:
C15013/15207: 80% - BURRS. 2.7 HOURS
C58253: 100% - CHANGED OVER. 4.79 HOURS
C41997/8: 100% - FPM. 3.9 HOURS
C63148/198: 80% - FPM. 4.4 HOURS
PRESS CALLS:
PA4: C42582/71159 - BROKEN PUNCH. 2.27 HOURS. 
SCHEDULED/UNSCHEDULED:
JESSE DENNIS: 7.74/2.27 = 10.01 HOURS
JOHN GREEN: 8.3/0 = 8.3 HOURS
TOOLING DOWNTIME: 2.27 HOURS
WORKCENTER LOGS: 3.38 HOURS
8/27 1ST SHIFT:
C93624/5: 70% - BROKEN BOLTS. 1.68 HOURS.
C20002001: WSSH N STAGE THEN CANCELED. 1.32 HOURS
3627753: 80% - FEELER FAIL. 3.28 HOURS
C46893: 80% - TRIM BURR/CHANGE OVER 4.58 HOURS
PRESS CALLS: 
PA4: C42582/71159 - SCRAP BUILD UP CAM TRIMS. 4.13 HOURS. MERLIN CLEARED SCRAP AND FOUND SHEDDER PINS MAGNETIZED. 
PA116: 3864310 - FEELER FAIL. 1.52 HOURS. MERLIN SHIMMED PIERCE PLATE. 
PA118: C80001/101 - IN PRESS TRYOUT. 6.82 HOURS. JEFF AND I GOT RAM SET PROPERLY FED STRIP THROUGH, STRIP STICKING TO TOP AT END OF DIE, JEFF HAD TO GRIND CLEARANCE IN WINDOWS TO STOP STRIP FROM STICKING. WE FOUND 3 FORMS STEELS HITTING HARDER THAN MATERIAL THICKNESS. WE GOT LEAD READINGS AND PULLED DIE SO WE CAN GRIND ON UPPER FORMS. 
PA120: C15112/15312 - HOLE BURR. 2.47 HOURS. ZACH PULLED LOWER DETAIL AND WELDED AND GROUND. 
SCHEDULED/UNSCHEDULED:
GREG WEICK: CALLED IN
MERLIN TACKETT: 3/5.17 = 8.17 HOURS
JEFF ROSE: 10.1/.48 = 10.58 HOURS
ZACH BRAMIGK: 5.98/2.47 = 8.45 HOURS
TOOLING DOWNTIME: 8.12 HOURS
WORKCENTER LOGS: 10.63 HOURS</t>
  </si>
  <si>
    <t xml:space="preserve">PA 116: Brad worked on the uncoiler solenoids, swapped them out with the ones from PA 110 and had the same issue. We think their is a PLC or Power issue. Still need to dig further into the issue. 
WC40- ICR out today working on the gun Calibration issues on the robot. Was able to finally get that worked out. then we had issues on the tip dress parameters. That has all been resolved, Savanah is working on the touch up points on the welds, and we should be able to run parts tonight. 
PA 119: Press stopping on the way up. Found Pressure switch faulting out, need to order a new one. 
Fingers hit die: had to replace two bent up receivers.</t>
  </si>
  <si>
    <t xml:space="preserve">PA120 | 724150H11B | No new issues
PA119 |  | No new issues
PA118 | C93624 | No new issues
PA117 |  | No new issues
PA116 |  | No new issues
PA115 |  | No new issues
PA112 |  | No new issues
PA111 |  | No new issues
PA110 |  | No new issues
PA50 |  | No new issues
SSL | 20007/8-AC | No new issues
Welding |  | 
Customer |  | 
Supplier |  | No new issues
Internal |  | No new issues
Customer |  | </t>
  </si>
  <si>
    <t>EAP Daily Update - Friday 8.28.26 - Submitted to Executive Team by 5 pm</t>
  </si>
  <si>
    <t xml:space="preserve">2026 Q3 DL Requirement: 41
Staffing Changes:                           
New Hire:  
Total EAP Employees minus LOA                                          
DL:  37         (1st -25  - 2nd 13)  
DL: PT - 1      2nd shift - Desmond Brown T-F (8-12 hrs.)                                                                                        
IDL:   22       (1st 16 - 2nd 6)
Total Present:
DL =  1st - 23,  2nd - 13                                                                                                                                                                                                                                             IDL PT = 0
IDL = 21
Planned Absenteeism:
DL:  1st shift: 
IDL:  1st shift:  Tom Pulley
DL: 2nd Shift:  
IDL: 2nd Shift:  
Unplanned Absenteeism (call off/leave early):
DL 1st shift - Rey Duran, Sophy Sou
IDL 1st Shift - 
DL 2nd Shift -
IDL 2nd Shift:  
Other:  LOA -DL -Jerry Weick (ERTW September - December), Merritt Higgins (TBD)</t>
  </si>
  <si>
    <t>Inventory coverage until 9/8</t>
  </si>
  <si>
    <t>Inventory coverage until 9/13</t>
  </si>
  <si>
    <t>Inventory coverage until 8/31 (parts at Detroit Coatings - will pickup Monday)</t>
  </si>
  <si>
    <t xml:space="preserve">Inventory coverage until 8/31 
Midwest roundtrip Monday AM.</t>
  </si>
  <si>
    <t xml:space="preserve">PA116: mandrel not working correctly. 
PA50: feeder issues. 
WC40: robot faults. 
WC39: cold welds.
PW27: tip change. </t>
  </si>
  <si>
    <t xml:space="preserve">PA120: trim burr
PA119: hole burr, fold over, trim burrs, SPC's out. 
PA118: part stamp.
PA115: trim burrs
PA111: feelers out. </t>
  </si>
  <si>
    <t xml:space="preserve">2nd shift 8/27:
PA118 - set 3864283 (1.5hrs)
PA120 - in die C/O 724153H12C (.5hrs)
1st shift 8/28:
PA120 - set 724151H10B (.9hrs)</t>
  </si>
  <si>
    <t>WC59 - set 85609492</t>
  </si>
  <si>
    <t>Extended coil changes on PA116 due to issues with coil reel.</t>
  </si>
  <si>
    <t xml:space="preserve">2nd shift 8/27:   
PA120 - finger adjustments, spike burr, coil buckled (2.9hrs)
PA116 - un-coiler unit wouldn't move in/out, steel jumped out of railing causing a bad cut-off (2.81hrs)
PA111 - feeler fail (.5hrs)
1st shift 8/28:
PA120 - trim burr (2.47hrs)
PA119 - set up, tooling (7.5hrs)
PA118 - no date or part stamp, gripper adjustments, oil sprayer adjustments (.52hrs)
PA116 - mandrel is not working correctly, end of coil was wavy (1.53hrs)
PA115 - trim burrs (5.5hrs)
PA111 - pulled die for repairs (.25hrs)
PA50 - feeder stopped working, coil buckled (.22hrs)
WC40 - robot faults/issues (7.2hrs)
WC39 - cold welds, weld gun issues (2.18hrs)
WC59/PW41 - part not pinning (1.35hrs)</t>
  </si>
  <si>
    <t xml:space="preserve">8/26 2ND SHIFT:
C15013/15207: 80% - BURRS. 2.7 HOURS
C58253: 100% - CHANGED OVER. 4.79 HOURS
C41997/8: 100% - FPM. 3.9 HOURS
C63148/198: 80% - FPM. 4.4 HOURS
PRESS CALLS:
PA4: C42582/71159 - BROKEN PUNCH. 2.27 HOURS. 
SCHEDULED/UNSCHEDULED:
JESSE DENNIS: 7.74/2.27 = 10.01 HOURS
JOHN GREEN: 8.3/0 = 8.3 HOURS
TOOLING DOWNTIME: 2.27 HOURS
WORKCENTER LOGS: 3.38 HOURS
8/27 1ST SHIFT:
C93624/5: 70% - BROKEN BOLTS. 1.68 HOURS.
C20002001: WSSH N STAGE THEN CANCELED. 1.32 HOURS
3627753: 80% - FEELER FAIL. 3.28 HOURS
C46893: 80% - TRIM BURR/CHANGE OVER 4.58 HOURS
PRESS CALLS: 
PA4: C42582/71159 - SCRAP BUILD UP CAM TRIMS. 4.13 HOURS. MERLIN CLEARED SCRAP AND FOUND SHEDDER PINS MAGNETIZED. 
PA116: 3864310 - FEELER FAIL. 1.52 HOURS. MERLIN SHIMMED PIERCE PLATE. 
PA118: C80001/101 - IN PRESS TRYOUT. 6.82 HOURS. JEFF AND I GOT RAM SET PROPERLY FED STRIP THROUGH, STRIP STICKING TO TOP AT END OF DIE, JEFF HAD TO GRIND CLEARANCE IN WINDOWS TO STOP STRIP FROM STICKING. WE FOUND 3 FORMS STEELS HITTING HARDER THAN MATERIAL THICKNESS. WE GOT LEAD READINGS AND PULLED DIE SO WE CAN GRIND ON UPPER FORMS. 
PA120: C15112/15312 - HOLE BURR. 2.47 HOURS. ZACH PULLED LOWER DETAIL AND WELDED AND GROUND. 
SCHEDULED/UNSCHEDULED:
GREG WEICK: CALLED IN
MERLIN TACKETT: 3/5.17 = 8.17 HOURS
JEFF ROSE: 10.1/.48 = 10.58 HOURS
ZACH BRAMIGK: 5.98/2.47 = 8.45 HOURS
TOOLING DOWNTIME: 8.12 HOURS
WORKCENTER LOGS: 8.52 HOURS</t>
  </si>
  <si>
    <t xml:space="preserve">PA 116: 8/28/26: Still having issues with the un-coiler solenoids. I will have to dig into it once I have WC-40 Figured out. Brad worked on the uncoiler solenoids, swapped them out with the ones from PA 110 and had the same issue. We think their is a PLC or Power issue. Still need to dig further into the issue. 
WC-40:  8/28/26: Was able to run parts but multiple issues throughout the day. After lunch there was an issue with sending the robot to tip dress. I ran the tip dress program, and saw that the tips were in bad condition, I then ran the tip change program, Changed the tips and started the program, and noticed the gun was pushing the part up on the bracket. Found that all welds were off location. I tried to troubleshoot the cause of the issue, but could not figure out what happened, I verified that the issue was on both fixtures and began to remaster the robot. Savanah. Is finishing touching up the weld points.
PS 92: Multiple calls for press not running. Operator not holding on to the palm buttons long enough. 
PW-39: Not welding: Found Arching on cable and pipe. Cleaned up slag, and added  rubber grommet between surfaces. 
PW-27: Slow welding. Found camera reacting slow. Found tip change needed. Replaced tips.</t>
  </si>
  <si>
    <t xml:space="preserve">PA120 | 724150H11B | No new issues
PA119 | C80003/103 | A few holes off-location. Some SPC's are out of spec. Burrs at trim-notch. Pretty bad necking/waves on one side of part. Pulling tool.
PA118 | C93624 | No new issues
PA117 |  | No new issues
PA116 |  | No new issues
PA115 |  | No new issues
PA112 |  | No new issues
PA111 |  | No new issues
PA110 |  | No new issues
PA50 |  | No new issues
SSL | 20007/8-AC | No new issues
Welding |  | 
Customer |  | 
Supplier |  | No new issues
Internal |  | No new issues
Customer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</si>
</sst>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6" fillId="3" borderId="8" xfId="0" applyFont="1" applyFill="1" applyBorder="1" applyAlignment="1">
      <alignment horizontal="center" vertical="center" wrapText="1" inden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4"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5"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xf numFmtId="0" fontId="14" fillId="2"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5" borderId="8"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24</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27" t="s">
        <v>8</v>
      </c>
      <c r="E39" s="28"/>
      <c r="F39" s="29" t="s">
        <v>23</v>
      </c>
      <c r="G39" s="25">
        <v>4</v>
      </c>
      <c r="H39" s="26" t="s">
        <v>27</v>
      </c>
      <c r="I39" s="26"/>
      <c r="J39" s="26"/>
      <c r="K39" s="26"/>
      <c r="L39" s="26"/>
      <c r="M39" s="26"/>
      <c r="N39" s="26"/>
      <c r="O39" s="26"/>
      <c r="P39" s="26"/>
    </row>
    <row r="40" ht="22.7" customHeight="1" spans="1:16" x14ac:dyDescent="0.25">
      <c r="A40" s="17"/>
      <c r="B40" s="7"/>
      <c r="C40" s="7"/>
      <c r="D40" s="27" t="s">
        <v>8</v>
      </c>
      <c r="E40" s="30" t="s">
        <v>28</v>
      </c>
      <c r="F40" s="31" t="s">
        <v>23</v>
      </c>
      <c r="G40" s="25">
        <v>8</v>
      </c>
      <c r="H40" s="32" t="s">
        <v>29</v>
      </c>
      <c r="I40" s="32"/>
      <c r="J40" s="32"/>
      <c r="K40" s="32"/>
      <c r="L40" s="32"/>
      <c r="M40" s="32"/>
      <c r="N40" s="32"/>
      <c r="O40" s="32"/>
      <c r="P40" s="32"/>
    </row>
    <row r="41" ht="22.7" customHeight="1" spans="1:16" x14ac:dyDescent="0.25">
      <c r="A41" s="17"/>
      <c r="B41" s="7"/>
      <c r="C41" s="7"/>
      <c r="D41" s="27" t="s">
        <v>8</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7</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42</v>
      </c>
      <c r="I46" s="26"/>
      <c r="J46" s="26"/>
      <c r="K46" s="26"/>
      <c r="L46" s="26"/>
      <c r="M46" s="26"/>
      <c r="N46" s="26"/>
      <c r="O46" s="26"/>
      <c r="P46" s="26"/>
    </row>
    <row r="47" ht="22.7" customHeight="1" spans="1:16" x14ac:dyDescent="0.25">
      <c r="A47" s="17"/>
      <c r="B47" s="7"/>
      <c r="C47" s="7"/>
      <c r="D47" s="27" t="s">
        <v>8</v>
      </c>
      <c r="E47" s="35" t="s">
        <v>43</v>
      </c>
      <c r="F47" s="24" t="s">
        <v>44</v>
      </c>
      <c r="G47" s="24">
        <v>2</v>
      </c>
      <c r="H47" s="26" t="s">
        <v>42</v>
      </c>
      <c r="I47" s="26"/>
      <c r="J47" s="26"/>
      <c r="K47" s="26"/>
      <c r="L47" s="26"/>
      <c r="M47" s="26"/>
      <c r="N47" s="26"/>
      <c r="O47" s="26"/>
      <c r="P47" s="26"/>
    </row>
    <row r="48" ht="22.7" customHeight="1" spans="1:16" x14ac:dyDescent="0.25">
      <c r="A48" s="17"/>
      <c r="B48" s="7"/>
      <c r="C48" s="7"/>
      <c r="D48" s="36" t="s">
        <v>45</v>
      </c>
      <c r="E48" s="35" t="s">
        <v>46</v>
      </c>
      <c r="F48" s="24" t="s">
        <v>47</v>
      </c>
      <c r="G48" s="24">
        <v>3</v>
      </c>
      <c r="H48" s="26" t="s">
        <v>48</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51</v>
      </c>
      <c r="I51" s="26"/>
      <c r="J51" s="26"/>
      <c r="K51" s="26"/>
      <c r="L51" s="26"/>
      <c r="M51" s="26"/>
      <c r="N51" s="26"/>
      <c r="O51" s="26"/>
      <c r="P51" s="26"/>
    </row>
    <row r="52" ht="22.7" customHeight="1" spans="1:16" x14ac:dyDescent="0.25">
      <c r="A52" s="17"/>
      <c r="B52" s="7"/>
      <c r="C52" s="7"/>
      <c r="D52" s="27" t="s">
        <v>8</v>
      </c>
      <c r="E52" s="23" t="s">
        <v>57</v>
      </c>
      <c r="F52" s="24" t="s">
        <v>58</v>
      </c>
      <c r="G52" s="24">
        <v>10</v>
      </c>
      <c r="H52" s="38" t="s">
        <v>39</v>
      </c>
      <c r="I52" s="38"/>
      <c r="J52" s="38"/>
      <c r="K52" s="38"/>
      <c r="L52" s="38"/>
      <c r="M52" s="38"/>
      <c r="N52" s="38"/>
      <c r="O52" s="38"/>
      <c r="P52" s="38"/>
    </row>
    <row r="53" ht="22.7" customHeight="1" spans="1:16" x14ac:dyDescent="0.25">
      <c r="A53" s="17"/>
      <c r="B53" s="7"/>
      <c r="C53" s="7"/>
      <c r="D53" s="27" t="s">
        <v>8</v>
      </c>
      <c r="E53" s="35" t="s">
        <v>59</v>
      </c>
      <c r="F53" s="24" t="s">
        <v>60</v>
      </c>
      <c r="G53" s="24">
        <v>2</v>
      </c>
      <c r="H53" s="26" t="s">
        <v>39</v>
      </c>
      <c r="I53" s="26"/>
      <c r="J53" s="26"/>
      <c r="K53" s="26"/>
      <c r="L53" s="26"/>
      <c r="M53" s="26"/>
      <c r="N53" s="26"/>
      <c r="O53" s="26"/>
      <c r="P53" s="26"/>
    </row>
    <row r="54" ht="22.7" customHeight="1" spans="1:16" x14ac:dyDescent="0.25">
      <c r="A54" s="17"/>
      <c r="B54" s="7"/>
      <c r="C54" s="7"/>
      <c r="D54" s="27" t="s">
        <v>8</v>
      </c>
      <c r="E54" s="39" t="s">
        <v>61</v>
      </c>
      <c r="F54" s="24" t="s">
        <v>62</v>
      </c>
      <c r="G54" s="24">
        <v>4</v>
      </c>
      <c r="H54" s="40" t="s">
        <v>63</v>
      </c>
      <c r="I54" s="40"/>
      <c r="J54" s="40"/>
      <c r="K54" s="40"/>
      <c r="L54" s="40"/>
      <c r="M54" s="40"/>
      <c r="N54" s="40"/>
      <c r="O54" s="40"/>
      <c r="P54" s="40"/>
    </row>
    <row r="55" ht="22.7" customHeight="1" spans="1:16" x14ac:dyDescent="0.25">
      <c r="A55" s="17"/>
      <c r="B55" s="7"/>
      <c r="C55" s="7"/>
      <c r="D55" s="27" t="s">
        <v>8</v>
      </c>
      <c r="E55" s="23" t="s">
        <v>61</v>
      </c>
      <c r="F55" s="24" t="s">
        <v>64</v>
      </c>
      <c r="G55" s="24">
        <v>18</v>
      </c>
      <c r="H55" s="40" t="s">
        <v>65</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66</v>
      </c>
      <c r="B57" s="13" t="s">
        <v>67</v>
      </c>
      <c r="C57" s="13"/>
      <c r="D57" s="43" t="s">
        <v>8</v>
      </c>
      <c r="E57" s="44" t="s">
        <v>68</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69</v>
      </c>
      <c r="B60" s="7" t="s">
        <v>70</v>
      </c>
      <c r="C60" s="7"/>
      <c r="D60" s="46" t="s">
        <v>8</v>
      </c>
      <c r="E60" s="47" t="s">
        <v>71</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72</v>
      </c>
      <c r="B63" s="7" t="s">
        <v>73</v>
      </c>
      <c r="C63" s="7"/>
      <c r="D63" s="46" t="s">
        <v>8</v>
      </c>
      <c r="E63" s="49" t="s">
        <v>74</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75</v>
      </c>
      <c r="B71" s="51" t="s">
        <v>76</v>
      </c>
      <c r="C71" s="51"/>
      <c r="D71" s="52"/>
      <c r="E71" s="53" t="s">
        <v>77</v>
      </c>
      <c r="F71" s="54" t="s">
        <v>78</v>
      </c>
      <c r="G71" s="55" t="s">
        <v>79</v>
      </c>
      <c r="H71" s="55"/>
      <c r="I71" s="55"/>
      <c r="J71" s="55"/>
      <c r="K71" s="55"/>
      <c r="L71" s="55"/>
      <c r="M71" s="55"/>
      <c r="N71" s="55"/>
      <c r="O71" s="55"/>
      <c r="P71" s="55"/>
    </row>
    <row r="72" ht="22.7" customHeight="1" spans="1:16" x14ac:dyDescent="0.25">
      <c r="A72" s="50"/>
      <c r="B72" s="51"/>
      <c r="C72" s="51"/>
      <c r="D72" s="56"/>
      <c r="E72" s="57"/>
      <c r="F72" s="58">
        <v>0.6</v>
      </c>
      <c r="G72" s="59"/>
      <c r="H72" s="59"/>
      <c r="I72" s="59"/>
      <c r="J72" s="59"/>
      <c r="K72" s="59"/>
      <c r="L72" s="59"/>
      <c r="M72" s="59"/>
      <c r="N72" s="59"/>
      <c r="O72" s="59"/>
      <c r="P72" s="59"/>
    </row>
    <row r="73" ht="27.95" customHeight="1" spans="1:16" x14ac:dyDescent="0.25">
      <c r="A73" s="50"/>
      <c r="B73" s="51"/>
      <c r="C73" s="51"/>
      <c r="D73" s="60"/>
      <c r="E73" s="61"/>
      <c r="F73" s="58">
        <v>0.71</v>
      </c>
      <c r="G73" s="62"/>
      <c r="H73" s="62"/>
      <c r="I73" s="62"/>
      <c r="J73" s="62"/>
      <c r="K73" s="62"/>
      <c r="L73" s="62"/>
      <c r="M73" s="62"/>
      <c r="N73" s="62"/>
      <c r="O73" s="62"/>
      <c r="P73" s="62"/>
    </row>
    <row r="74" ht="27.6" customHeight="1" spans="1:16" x14ac:dyDescent="0.25">
      <c r="A74" s="50"/>
      <c r="B74" s="51"/>
      <c r="C74" s="51"/>
      <c r="D74" s="63"/>
      <c r="E74" s="61"/>
      <c r="F74" s="58">
        <v>0.9</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72</v>
      </c>
      <c r="B77" s="68" t="s">
        <v>80</v>
      </c>
      <c r="C77" s="68"/>
      <c r="D77" s="69"/>
      <c r="E77" s="70"/>
      <c r="F77" s="71" t="s">
        <v>81</v>
      </c>
      <c r="G77" s="72" t="s">
        <v>82</v>
      </c>
      <c r="H77" s="73" t="s">
        <v>79</v>
      </c>
      <c r="I77" s="73"/>
      <c r="J77" s="73"/>
      <c r="K77" s="73"/>
      <c r="L77" s="73"/>
      <c r="M77" s="73"/>
      <c r="N77" s="73"/>
      <c r="O77" s="73"/>
      <c r="P77" s="73"/>
    </row>
    <row r="78" ht="22.7" customHeight="1" spans="1:16" x14ac:dyDescent="0.25">
      <c r="A78" s="67"/>
      <c r="B78" s="68"/>
      <c r="C78" s="68"/>
      <c r="D78" s="69"/>
      <c r="E78" s="74" t="s">
        <v>83</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84</v>
      </c>
      <c r="I79" s="80"/>
      <c r="J79" s="80"/>
      <c r="K79" s="80"/>
      <c r="L79" s="80"/>
      <c r="M79" s="80"/>
      <c r="N79" s="80"/>
      <c r="O79" s="80"/>
      <c r="P79" s="80"/>
    </row>
    <row r="80" ht="22.7" customHeight="1" spans="1:16" x14ac:dyDescent="0.25">
      <c r="A80" s="67"/>
      <c r="B80" s="68"/>
      <c r="C80" s="68"/>
      <c r="D80" s="69"/>
      <c r="E80" s="81"/>
      <c r="F80" s="61"/>
      <c r="G80" s="79"/>
      <c r="H80" s="82" t="s">
        <v>85</v>
      </c>
      <c r="I80" s="82"/>
      <c r="J80" s="82"/>
      <c r="K80" s="82"/>
      <c r="L80" s="82"/>
      <c r="M80" s="82"/>
      <c r="N80" s="82"/>
      <c r="O80" s="82"/>
      <c r="P80" s="82"/>
    </row>
    <row r="81" ht="22.7" customHeight="1" spans="1:16" x14ac:dyDescent="0.25">
      <c r="A81" s="67"/>
      <c r="B81" s="68"/>
      <c r="C81" s="68"/>
      <c r="D81" s="69"/>
      <c r="E81" s="83"/>
      <c r="F81" s="78"/>
      <c r="G81" s="79"/>
      <c r="H81" s="82" t="s">
        <v>86</v>
      </c>
      <c r="I81" s="82"/>
      <c r="J81" s="82"/>
      <c r="K81" s="82"/>
      <c r="L81" s="82"/>
      <c r="M81" s="82"/>
      <c r="N81" s="82"/>
      <c r="O81" s="82"/>
      <c r="P81" s="82"/>
    </row>
    <row r="82" ht="22.7" customHeight="1" spans="1:16" x14ac:dyDescent="0.25">
      <c r="A82" s="67"/>
      <c r="B82" s="68"/>
      <c r="C82" s="68"/>
      <c r="D82" s="69"/>
      <c r="E82" s="77"/>
      <c r="F82" s="84"/>
      <c r="G82" s="79"/>
      <c r="H82" s="82" t="s">
        <v>87</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72</v>
      </c>
      <c r="B84" s="7" t="s">
        <v>88</v>
      </c>
      <c r="C84" s="7"/>
      <c r="D84" s="88" t="s">
        <v>89</v>
      </c>
      <c r="E84" s="89" t="s">
        <v>90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72</v>
      </c>
      <c r="B102" s="7" t="s">
        <v>91</v>
      </c>
      <c r="C102" s="7"/>
      <c r="D102" s="46"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72</v>
      </c>
      <c r="B105" s="7" t="s">
        <v>93</v>
      </c>
      <c r="C105" s="7"/>
      <c r="D105" s="46" t="s">
        <v>8</v>
      </c>
      <c r="E105" s="91" t="s">
        <v>94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72</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92" t="s">
        <v>45</v>
      </c>
      <c r="E113" s="47" t="s">
        <v>98</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92" t="s">
        <v>45</v>
      </c>
      <c r="E121" s="47" t="s">
        <v>101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108</v>
      </c>
      <c r="I37" s="26"/>
      <c r="J37" s="26"/>
      <c r="K37" s="26"/>
      <c r="L37" s="26"/>
      <c r="M37" s="26"/>
      <c r="N37" s="26"/>
      <c r="O37" s="26"/>
      <c r="P37" s="26"/>
    </row>
    <row r="38" ht="22.7" customHeight="1" spans="1:16" x14ac:dyDescent="0.25">
      <c r="A38" s="17"/>
      <c r="B38" s="7"/>
      <c r="C38" s="7"/>
      <c r="D38" s="27" t="s">
        <v>8</v>
      </c>
      <c r="E38" s="28" t="s">
        <v>25</v>
      </c>
      <c r="F38" s="29" t="s">
        <v>23</v>
      </c>
      <c r="G38" s="25">
        <v>20</v>
      </c>
      <c r="H38" s="26" t="s">
        <v>63</v>
      </c>
      <c r="I38" s="26"/>
      <c r="J38" s="26"/>
      <c r="K38" s="26"/>
      <c r="L38" s="26"/>
      <c r="M38" s="26"/>
      <c r="N38" s="26"/>
      <c r="O38" s="26"/>
      <c r="P38" s="26"/>
    </row>
    <row r="39" ht="22.7" customHeight="1" spans="1:16" x14ac:dyDescent="0.25">
      <c r="A39" s="17"/>
      <c r="B39" s="7"/>
      <c r="C39" s="7"/>
      <c r="D39" s="27" t="s">
        <v>8</v>
      </c>
      <c r="E39" s="28"/>
      <c r="F39" s="29" t="s">
        <v>23</v>
      </c>
      <c r="G39" s="25">
        <v>4</v>
      </c>
      <c r="H39" s="26" t="s">
        <v>63</v>
      </c>
      <c r="I39" s="26"/>
      <c r="J39" s="26"/>
      <c r="K39" s="26"/>
      <c r="L39" s="26"/>
      <c r="M39" s="26"/>
      <c r="N39" s="26"/>
      <c r="O39" s="26"/>
      <c r="P39" s="26"/>
    </row>
    <row r="40" ht="22.7" customHeight="1" spans="1:16" x14ac:dyDescent="0.25">
      <c r="A40" s="17"/>
      <c r="B40" s="7"/>
      <c r="C40" s="7"/>
      <c r="D40" s="36" t="s">
        <v>45</v>
      </c>
      <c r="E40" s="30" t="s">
        <v>28</v>
      </c>
      <c r="F40" s="31" t="s">
        <v>23</v>
      </c>
      <c r="G40" s="25">
        <v>8</v>
      </c>
      <c r="H40" s="32" t="s">
        <v>109</v>
      </c>
      <c r="I40" s="32"/>
      <c r="J40" s="32"/>
      <c r="K40" s="32"/>
      <c r="L40" s="32"/>
      <c r="M40" s="32"/>
      <c r="N40" s="32"/>
      <c r="O40" s="32"/>
      <c r="P40" s="32"/>
    </row>
    <row r="41" ht="22.7" customHeight="1" spans="1:16" x14ac:dyDescent="0.25">
      <c r="A41" s="17"/>
      <c r="B41" s="7"/>
      <c r="C41" s="7"/>
      <c r="D41" s="27" t="s">
        <v>8</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7</v>
      </c>
      <c r="H43" s="26" t="s">
        <v>110</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111</v>
      </c>
      <c r="I46" s="26"/>
      <c r="J46" s="26"/>
      <c r="K46" s="26"/>
      <c r="L46" s="26"/>
      <c r="M46" s="26"/>
      <c r="N46" s="26"/>
      <c r="O46" s="26"/>
      <c r="P46" s="26"/>
    </row>
    <row r="47" ht="22.7" customHeight="1" spans="1:16" x14ac:dyDescent="0.25">
      <c r="A47" s="17"/>
      <c r="B47" s="7"/>
      <c r="C47" s="7"/>
      <c r="D47" s="27" t="s">
        <v>8</v>
      </c>
      <c r="E47" s="35" t="s">
        <v>43</v>
      </c>
      <c r="F47" s="24" t="s">
        <v>44</v>
      </c>
      <c r="G47" s="24">
        <v>2</v>
      </c>
      <c r="H47" s="26" t="s">
        <v>112</v>
      </c>
      <c r="I47" s="26"/>
      <c r="J47" s="26"/>
      <c r="K47" s="26"/>
      <c r="L47" s="26"/>
      <c r="M47" s="26"/>
      <c r="N47" s="26"/>
      <c r="O47" s="26"/>
      <c r="P47" s="26"/>
    </row>
    <row r="48" ht="22.7" customHeight="1" spans="1:16" x14ac:dyDescent="0.25">
      <c r="A48" s="17"/>
      <c r="B48" s="7"/>
      <c r="C48" s="7"/>
      <c r="D48" s="27" t="s">
        <v>8</v>
      </c>
      <c r="E48" s="35" t="s">
        <v>46</v>
      </c>
      <c r="F48" s="24" t="s">
        <v>47</v>
      </c>
      <c r="G48" s="24">
        <v>3</v>
      </c>
      <c r="H48" s="26" t="s">
        <v>113</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51</v>
      </c>
      <c r="I51" s="26"/>
      <c r="J51" s="26"/>
      <c r="K51" s="26"/>
      <c r="L51" s="26"/>
      <c r="M51" s="26"/>
      <c r="N51" s="26"/>
      <c r="O51" s="26"/>
      <c r="P51" s="26"/>
    </row>
    <row r="52" ht="22.7" customHeight="1" spans="1:16" x14ac:dyDescent="0.25">
      <c r="A52" s="17"/>
      <c r="B52" s="7"/>
      <c r="C52" s="7"/>
      <c r="D52" s="27" t="s">
        <v>8</v>
      </c>
      <c r="E52" s="23" t="s">
        <v>57</v>
      </c>
      <c r="F52" s="24" t="s">
        <v>58</v>
      </c>
      <c r="G52" s="24">
        <v>10</v>
      </c>
      <c r="H52" s="38" t="s">
        <v>39</v>
      </c>
      <c r="I52" s="38"/>
      <c r="J52" s="38"/>
      <c r="K52" s="38"/>
      <c r="L52" s="38"/>
      <c r="M52" s="38"/>
      <c r="N52" s="38"/>
      <c r="O52" s="38"/>
      <c r="P52" s="38"/>
    </row>
    <row r="53" ht="22.7" customHeight="1" spans="1:16" x14ac:dyDescent="0.25">
      <c r="A53" s="17"/>
      <c r="B53" s="7"/>
      <c r="C53" s="7"/>
      <c r="D53" s="27" t="s">
        <v>8</v>
      </c>
      <c r="E53" s="35" t="s">
        <v>59</v>
      </c>
      <c r="F53" s="24" t="s">
        <v>60</v>
      </c>
      <c r="G53" s="24">
        <v>2</v>
      </c>
      <c r="H53" s="26" t="s">
        <v>39</v>
      </c>
      <c r="I53" s="26"/>
      <c r="J53" s="26"/>
      <c r="K53" s="26"/>
      <c r="L53" s="26"/>
      <c r="M53" s="26"/>
      <c r="N53" s="26"/>
      <c r="O53" s="26"/>
      <c r="P53" s="26"/>
    </row>
    <row r="54" ht="22.7" customHeight="1" spans="1:16" x14ac:dyDescent="0.25">
      <c r="A54" s="17"/>
      <c r="B54" s="7"/>
      <c r="C54" s="7"/>
      <c r="D54" s="27" t="s">
        <v>8</v>
      </c>
      <c r="E54" s="39" t="s">
        <v>61</v>
      </c>
      <c r="F54" s="24" t="s">
        <v>62</v>
      </c>
      <c r="G54" s="24">
        <v>4</v>
      </c>
      <c r="H54" s="40" t="s">
        <v>63</v>
      </c>
      <c r="I54" s="40"/>
      <c r="J54" s="40"/>
      <c r="K54" s="40"/>
      <c r="L54" s="40"/>
      <c r="M54" s="40"/>
      <c r="N54" s="40"/>
      <c r="O54" s="40"/>
      <c r="P54" s="40"/>
    </row>
    <row r="55" ht="22.7" customHeight="1" spans="1:16" x14ac:dyDescent="0.25">
      <c r="A55" s="17"/>
      <c r="B55" s="7"/>
      <c r="C55" s="7"/>
      <c r="D55" s="27" t="s">
        <v>8</v>
      </c>
      <c r="E55" s="23" t="s">
        <v>61</v>
      </c>
      <c r="F55" s="24" t="s">
        <v>64</v>
      </c>
      <c r="G55" s="24">
        <v>18</v>
      </c>
      <c r="H55" s="40" t="s">
        <v>42</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66</v>
      </c>
      <c r="B57" s="13" t="s">
        <v>67</v>
      </c>
      <c r="C57" s="13"/>
      <c r="D57" s="43" t="s">
        <v>8</v>
      </c>
      <c r="E57" s="44" t="s">
        <v>114</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69</v>
      </c>
      <c r="B60" s="7" t="s">
        <v>70</v>
      </c>
      <c r="C60" s="7"/>
      <c r="D60" s="46" t="s">
        <v>8</v>
      </c>
      <c r="E60" s="47" t="s">
        <v>71</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72</v>
      </c>
      <c r="B63" s="7" t="s">
        <v>73</v>
      </c>
      <c r="C63" s="7"/>
      <c r="D63" s="46" t="s">
        <v>8</v>
      </c>
      <c r="E63" s="49" t="s">
        <v>74</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75</v>
      </c>
      <c r="B71" s="51" t="s">
        <v>76</v>
      </c>
      <c r="C71" s="51"/>
      <c r="D71" s="52"/>
      <c r="E71" s="53" t="s">
        <v>77</v>
      </c>
      <c r="F71" s="54" t="s">
        <v>78</v>
      </c>
      <c r="G71" s="55" t="s">
        <v>79</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0.76</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72</v>
      </c>
      <c r="B77" s="68" t="s">
        <v>80</v>
      </c>
      <c r="C77" s="68"/>
      <c r="D77" s="69"/>
      <c r="E77" s="70"/>
      <c r="F77" s="71" t="s">
        <v>81</v>
      </c>
      <c r="G77" s="72" t="s">
        <v>82</v>
      </c>
      <c r="H77" s="73" t="s">
        <v>79</v>
      </c>
      <c r="I77" s="73"/>
      <c r="J77" s="73"/>
      <c r="K77" s="73"/>
      <c r="L77" s="73"/>
      <c r="M77" s="73"/>
      <c r="N77" s="73"/>
      <c r="O77" s="73"/>
      <c r="P77" s="73"/>
    </row>
    <row r="78" ht="22.7" customHeight="1" spans="1:16" x14ac:dyDescent="0.25">
      <c r="A78" s="67"/>
      <c r="B78" s="68"/>
      <c r="C78" s="68"/>
      <c r="D78" s="69"/>
      <c r="E78" s="74" t="s">
        <v>83</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115</v>
      </c>
      <c r="I79" s="80"/>
      <c r="J79" s="80"/>
      <c r="K79" s="80"/>
      <c r="L79" s="80"/>
      <c r="M79" s="80"/>
      <c r="N79" s="80"/>
      <c r="O79" s="80"/>
      <c r="P79" s="80"/>
    </row>
    <row r="80" ht="22.7" customHeight="1" spans="1:16" x14ac:dyDescent="0.25">
      <c r="A80" s="67"/>
      <c r="B80" s="68"/>
      <c r="C80" s="68"/>
      <c r="D80" s="69"/>
      <c r="E80" s="81"/>
      <c r="F80" s="61"/>
      <c r="G80" s="79"/>
      <c r="H80" s="82" t="s">
        <v>116</v>
      </c>
      <c r="I80" s="82"/>
      <c r="J80" s="82"/>
      <c r="K80" s="82"/>
      <c r="L80" s="82"/>
      <c r="M80" s="82"/>
      <c r="N80" s="82"/>
      <c r="O80" s="82"/>
      <c r="P80" s="82"/>
    </row>
    <row r="81" ht="22.7" customHeight="1" spans="1:16" x14ac:dyDescent="0.25">
      <c r="A81" s="67"/>
      <c r="B81" s="68"/>
      <c r="C81" s="68"/>
      <c r="D81" s="69"/>
      <c r="E81" s="83"/>
      <c r="F81" s="78"/>
      <c r="G81" s="79"/>
      <c r="H81" s="82" t="s">
        <v>117</v>
      </c>
      <c r="I81" s="82"/>
      <c r="J81" s="82"/>
      <c r="K81" s="82"/>
      <c r="L81" s="82"/>
      <c r="M81" s="82"/>
      <c r="N81" s="82"/>
      <c r="O81" s="82"/>
      <c r="P81" s="82"/>
    </row>
    <row r="82" ht="22.7" customHeight="1" spans="1:16" x14ac:dyDescent="0.25">
      <c r="A82" s="67"/>
      <c r="B82" s="68"/>
      <c r="C82" s="68"/>
      <c r="D82" s="69"/>
      <c r="E82" s="77"/>
      <c r="F82" s="84"/>
      <c r="G82" s="79"/>
      <c r="H82" s="82" t="s">
        <v>118</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72</v>
      </c>
      <c r="B84" s="7" t="s">
        <v>88</v>
      </c>
      <c r="C84" s="7"/>
      <c r="D84" s="93" t="s">
        <v>8</v>
      </c>
      <c r="E84" s="89" t="s">
        <v>119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72</v>
      </c>
      <c r="B102" s="7" t="s">
        <v>91</v>
      </c>
      <c r="C102" s="7"/>
      <c r="D102" s="46"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72</v>
      </c>
      <c r="B105" s="7" t="s">
        <v>93</v>
      </c>
      <c r="C105" s="7"/>
      <c r="D105" s="46" t="s">
        <v>8</v>
      </c>
      <c r="E105" s="91" t="s">
        <v>120</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72</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92" t="s">
        <v>45</v>
      </c>
      <c r="E113" s="47" t="s">
        <v>121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92" t="s">
        <v>45</v>
      </c>
      <c r="E121" s="47" t="s">
        <v>122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125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4" t="s">
        <v>45</v>
      </c>
      <c r="E32" s="3" t="s">
        <v>126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108</v>
      </c>
      <c r="I37" s="26"/>
      <c r="J37" s="26"/>
      <c r="K37" s="26"/>
      <c r="L37" s="26"/>
      <c r="M37" s="26"/>
      <c r="N37" s="26"/>
      <c r="O37" s="26"/>
      <c r="P37" s="26"/>
    </row>
    <row r="38" ht="22.7" customHeight="1" spans="1:16" x14ac:dyDescent="0.25">
      <c r="A38" s="17"/>
      <c r="B38" s="7"/>
      <c r="C38" s="7"/>
      <c r="D38" s="27" t="s">
        <v>8</v>
      </c>
      <c r="E38" s="28" t="s">
        <v>25</v>
      </c>
      <c r="F38" s="29" t="s">
        <v>23</v>
      </c>
      <c r="G38" s="25">
        <v>20</v>
      </c>
      <c r="H38" s="26" t="s">
        <v>63</v>
      </c>
      <c r="I38" s="26"/>
      <c r="J38" s="26"/>
      <c r="K38" s="26"/>
      <c r="L38" s="26"/>
      <c r="M38" s="26"/>
      <c r="N38" s="26"/>
      <c r="O38" s="26"/>
      <c r="P38" s="26"/>
    </row>
    <row r="39" ht="22.7" customHeight="1" spans="1:16" x14ac:dyDescent="0.25">
      <c r="A39" s="17"/>
      <c r="B39" s="7"/>
      <c r="C39" s="7"/>
      <c r="D39" s="27" t="s">
        <v>8</v>
      </c>
      <c r="E39" s="28"/>
      <c r="F39" s="29" t="s">
        <v>23</v>
      </c>
      <c r="G39" s="25">
        <v>4</v>
      </c>
      <c r="H39" s="26" t="s">
        <v>63</v>
      </c>
      <c r="I39" s="26"/>
      <c r="J39" s="26"/>
      <c r="K39" s="26"/>
      <c r="L39" s="26"/>
      <c r="M39" s="26"/>
      <c r="N39" s="26"/>
      <c r="O39" s="26"/>
      <c r="P39" s="26"/>
    </row>
    <row r="40" ht="22.7" customHeight="1" spans="1:16" x14ac:dyDescent="0.25">
      <c r="A40" s="17"/>
      <c r="B40" s="7"/>
      <c r="C40" s="7"/>
      <c r="D40" s="95" t="s">
        <v>89</v>
      </c>
      <c r="E40" s="30" t="s">
        <v>28</v>
      </c>
      <c r="F40" s="31" t="s">
        <v>23</v>
      </c>
      <c r="G40" s="25">
        <v>8</v>
      </c>
      <c r="H40" s="32" t="s">
        <v>127</v>
      </c>
      <c r="I40" s="32"/>
      <c r="J40" s="32"/>
      <c r="K40" s="32"/>
      <c r="L40" s="32"/>
      <c r="M40" s="32"/>
      <c r="N40" s="32"/>
      <c r="O40" s="32"/>
      <c r="P40" s="32"/>
    </row>
    <row r="41" ht="22.7" customHeight="1" spans="1:16" x14ac:dyDescent="0.25">
      <c r="A41" s="17"/>
      <c r="B41" s="7"/>
      <c r="C41" s="7"/>
      <c r="D41" s="27" t="s">
        <v>8</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7</v>
      </c>
      <c r="H43" s="26" t="s">
        <v>110</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111</v>
      </c>
      <c r="I46" s="26"/>
      <c r="J46" s="26"/>
      <c r="K46" s="26"/>
      <c r="L46" s="26"/>
      <c r="M46" s="26"/>
      <c r="N46" s="26"/>
      <c r="O46" s="26"/>
      <c r="P46" s="26"/>
    </row>
    <row r="47" ht="22.7" customHeight="1" spans="1:16" x14ac:dyDescent="0.25">
      <c r="A47" s="17"/>
      <c r="B47" s="7"/>
      <c r="C47" s="7"/>
      <c r="D47" s="27" t="s">
        <v>8</v>
      </c>
      <c r="E47" s="35" t="s">
        <v>43</v>
      </c>
      <c r="F47" s="24" t="s">
        <v>44</v>
      </c>
      <c r="G47" s="24">
        <v>2</v>
      </c>
      <c r="H47" s="26" t="s">
        <v>112</v>
      </c>
      <c r="I47" s="26"/>
      <c r="J47" s="26"/>
      <c r="K47" s="26"/>
      <c r="L47" s="26"/>
      <c r="M47" s="26"/>
      <c r="N47" s="26"/>
      <c r="O47" s="26"/>
      <c r="P47" s="26"/>
    </row>
    <row r="48" ht="22.7" customHeight="1" spans="1:16" x14ac:dyDescent="0.25">
      <c r="A48" s="17"/>
      <c r="B48" s="7"/>
      <c r="C48" s="7"/>
      <c r="D48" s="27" t="s">
        <v>8</v>
      </c>
      <c r="E48" s="35" t="s">
        <v>46</v>
      </c>
      <c r="F48" s="24" t="s">
        <v>47</v>
      </c>
      <c r="G48" s="24">
        <v>3</v>
      </c>
      <c r="H48" s="26" t="s">
        <v>42</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51</v>
      </c>
      <c r="I51" s="26"/>
      <c r="J51" s="26"/>
      <c r="K51" s="26"/>
      <c r="L51" s="26"/>
      <c r="M51" s="26"/>
      <c r="N51" s="26"/>
      <c r="O51" s="26"/>
      <c r="P51" s="26"/>
    </row>
    <row r="52" ht="22.7" customHeight="1" spans="1:16" x14ac:dyDescent="0.25">
      <c r="A52" s="17"/>
      <c r="B52" s="7"/>
      <c r="C52" s="7"/>
      <c r="D52" s="27" t="s">
        <v>8</v>
      </c>
      <c r="E52" s="23" t="s">
        <v>57</v>
      </c>
      <c r="F52" s="24" t="s">
        <v>58</v>
      </c>
      <c r="G52" s="24">
        <v>10</v>
      </c>
      <c r="H52" s="38" t="s">
        <v>39</v>
      </c>
      <c r="I52" s="38"/>
      <c r="J52" s="38"/>
      <c r="K52" s="38"/>
      <c r="L52" s="38"/>
      <c r="M52" s="38"/>
      <c r="N52" s="38"/>
      <c r="O52" s="38"/>
      <c r="P52" s="38"/>
    </row>
    <row r="53" ht="22.7" customHeight="1" spans="1:16" x14ac:dyDescent="0.25">
      <c r="A53" s="17"/>
      <c r="B53" s="7"/>
      <c r="C53" s="7"/>
      <c r="D53" s="27" t="s">
        <v>8</v>
      </c>
      <c r="E53" s="35" t="s">
        <v>59</v>
      </c>
      <c r="F53" s="24" t="s">
        <v>60</v>
      </c>
      <c r="G53" s="24">
        <v>2</v>
      </c>
      <c r="H53" s="26" t="s">
        <v>39</v>
      </c>
      <c r="I53" s="26"/>
      <c r="J53" s="26"/>
      <c r="K53" s="26"/>
      <c r="L53" s="26"/>
      <c r="M53" s="26"/>
      <c r="N53" s="26"/>
      <c r="O53" s="26"/>
      <c r="P53" s="26"/>
    </row>
    <row r="54" ht="22.7" customHeight="1" spans="1:16" x14ac:dyDescent="0.25">
      <c r="A54" s="17"/>
      <c r="B54" s="7"/>
      <c r="C54" s="7"/>
      <c r="D54" s="27" t="s">
        <v>8</v>
      </c>
      <c r="E54" s="39" t="s">
        <v>61</v>
      </c>
      <c r="F54" s="24" t="s">
        <v>62</v>
      </c>
      <c r="G54" s="24">
        <v>4</v>
      </c>
      <c r="H54" s="40" t="s">
        <v>63</v>
      </c>
      <c r="I54" s="40"/>
      <c r="J54" s="40"/>
      <c r="K54" s="40"/>
      <c r="L54" s="40"/>
      <c r="M54" s="40"/>
      <c r="N54" s="40"/>
      <c r="O54" s="40"/>
      <c r="P54" s="40"/>
    </row>
    <row r="55" ht="22.7" customHeight="1" spans="1:16" x14ac:dyDescent="0.25">
      <c r="A55" s="17"/>
      <c r="B55" s="7"/>
      <c r="C55" s="7"/>
      <c r="D55" s="27" t="s">
        <v>8</v>
      </c>
      <c r="E55" s="23" t="s">
        <v>61</v>
      </c>
      <c r="F55" s="24" t="s">
        <v>64</v>
      </c>
      <c r="G55" s="24">
        <v>18</v>
      </c>
      <c r="H55" s="40" t="s">
        <v>42</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66</v>
      </c>
      <c r="B57" s="13" t="s">
        <v>67</v>
      </c>
      <c r="C57" s="13"/>
      <c r="D57" s="43" t="s">
        <v>8</v>
      </c>
      <c r="E57" s="44" t="s">
        <v>128</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69</v>
      </c>
      <c r="B60" s="7" t="s">
        <v>70</v>
      </c>
      <c r="C60" s="7"/>
      <c r="D60" s="46" t="s">
        <v>8</v>
      </c>
      <c r="E60" s="47" t="s">
        <v>71</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72</v>
      </c>
      <c r="B63" s="7" t="s">
        <v>73</v>
      </c>
      <c r="C63" s="7"/>
      <c r="D63" s="46" t="s">
        <v>8</v>
      </c>
      <c r="E63" s="49" t="s">
        <v>74</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75</v>
      </c>
      <c r="B71" s="51" t="s">
        <v>76</v>
      </c>
      <c r="C71" s="51"/>
      <c r="D71" s="52"/>
      <c r="E71" s="53" t="s">
        <v>77</v>
      </c>
      <c r="F71" s="54" t="s">
        <v>78</v>
      </c>
      <c r="G71" s="55" t="s">
        <v>79</v>
      </c>
      <c r="H71" s="55"/>
      <c r="I71" s="55"/>
      <c r="J71" s="55"/>
      <c r="K71" s="55"/>
      <c r="L71" s="55"/>
      <c r="M71" s="55"/>
      <c r="N71" s="55"/>
      <c r="O71" s="55"/>
      <c r="P71" s="55"/>
    </row>
    <row r="72" ht="22.7" customHeight="1" spans="1:16" x14ac:dyDescent="0.25">
      <c r="A72" s="50"/>
      <c r="B72" s="51"/>
      <c r="C72" s="51"/>
      <c r="D72" s="56"/>
      <c r="E72" s="57"/>
      <c r="F72" s="58">
        <v>0.5</v>
      </c>
      <c r="G72" s="59"/>
      <c r="H72" s="59"/>
      <c r="I72" s="59"/>
      <c r="J72" s="59"/>
      <c r="K72" s="59"/>
      <c r="L72" s="59"/>
      <c r="M72" s="59"/>
      <c r="N72" s="59"/>
      <c r="O72" s="59"/>
      <c r="P72" s="59"/>
    </row>
    <row r="73" ht="27.95" customHeight="1" spans="1:16" x14ac:dyDescent="0.25">
      <c r="A73" s="50"/>
      <c r="B73" s="51"/>
      <c r="C73" s="51"/>
      <c r="D73" s="60"/>
      <c r="E73" s="61"/>
      <c r="F73" s="58">
        <v>0.74</v>
      </c>
      <c r="G73" s="62"/>
      <c r="H73" s="62"/>
      <c r="I73" s="62"/>
      <c r="J73" s="62"/>
      <c r="K73" s="62"/>
      <c r="L73" s="62"/>
      <c r="M73" s="62"/>
      <c r="N73" s="62"/>
      <c r="O73" s="62"/>
      <c r="P73" s="62"/>
    </row>
    <row r="74" ht="27.6" customHeight="1" spans="1:16" x14ac:dyDescent="0.25">
      <c r="A74" s="50"/>
      <c r="B74" s="51"/>
      <c r="C74" s="51"/>
      <c r="D74" s="63"/>
      <c r="E74" s="61"/>
      <c r="F74" s="58">
        <v>0.93</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72</v>
      </c>
      <c r="B77" s="68" t="s">
        <v>80</v>
      </c>
      <c r="C77" s="68"/>
      <c r="D77" s="69"/>
      <c r="E77" s="70"/>
      <c r="F77" s="71" t="s">
        <v>81</v>
      </c>
      <c r="G77" s="72" t="s">
        <v>82</v>
      </c>
      <c r="H77" s="73" t="s">
        <v>79</v>
      </c>
      <c r="I77" s="73"/>
      <c r="J77" s="73"/>
      <c r="K77" s="73"/>
      <c r="L77" s="73"/>
      <c r="M77" s="73"/>
      <c r="N77" s="73"/>
      <c r="O77" s="73"/>
      <c r="P77" s="73"/>
    </row>
    <row r="78" ht="22.7" customHeight="1" spans="1:16" x14ac:dyDescent="0.25">
      <c r="A78" s="67"/>
      <c r="B78" s="68"/>
      <c r="C78" s="68"/>
      <c r="D78" s="69"/>
      <c r="E78" s="74" t="s">
        <v>83</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129</v>
      </c>
      <c r="I79" s="80"/>
      <c r="J79" s="80"/>
      <c r="K79" s="80"/>
      <c r="L79" s="80"/>
      <c r="M79" s="80"/>
      <c r="N79" s="80"/>
      <c r="O79" s="80"/>
      <c r="P79" s="80"/>
    </row>
    <row r="80" ht="22.7" customHeight="1" spans="1:16" x14ac:dyDescent="0.25">
      <c r="A80" s="67"/>
      <c r="B80" s="68"/>
      <c r="C80" s="68"/>
      <c r="D80" s="69"/>
      <c r="E80" s="81"/>
      <c r="F80" s="61"/>
      <c r="G80" s="79"/>
      <c r="H80" s="82" t="s">
        <v>130</v>
      </c>
      <c r="I80" s="82"/>
      <c r="J80" s="82"/>
      <c r="K80" s="82"/>
      <c r="L80" s="82"/>
      <c r="M80" s="82"/>
      <c r="N80" s="82"/>
      <c r="O80" s="82"/>
      <c r="P80" s="82"/>
    </row>
    <row r="81" ht="22.7" customHeight="1" spans="1:16" x14ac:dyDescent="0.25">
      <c r="A81" s="67"/>
      <c r="B81" s="68"/>
      <c r="C81" s="68"/>
      <c r="D81" s="69"/>
      <c r="E81" s="83"/>
      <c r="F81" s="78"/>
      <c r="G81" s="79"/>
      <c r="H81" s="82" t="s">
        <v>131</v>
      </c>
      <c r="I81" s="82"/>
      <c r="J81" s="82"/>
      <c r="K81" s="82"/>
      <c r="L81" s="82"/>
      <c r="M81" s="82"/>
      <c r="N81" s="82"/>
      <c r="O81" s="82"/>
      <c r="P81" s="82"/>
    </row>
    <row r="82" ht="22.7" customHeight="1" spans="1:16" x14ac:dyDescent="0.25">
      <c r="A82" s="67"/>
      <c r="B82" s="68"/>
      <c r="C82" s="68"/>
      <c r="D82" s="69"/>
      <c r="E82" s="77"/>
      <c r="F82" s="84"/>
      <c r="G82" s="79"/>
      <c r="H82" s="82" t="s">
        <v>118</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72</v>
      </c>
      <c r="B84" s="7" t="s">
        <v>88</v>
      </c>
      <c r="C84" s="7"/>
      <c r="D84" s="88" t="s">
        <v>89</v>
      </c>
      <c r="E84" s="89" t="s">
        <v>132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72</v>
      </c>
      <c r="B102" s="7" t="s">
        <v>91</v>
      </c>
      <c r="C102" s="7"/>
      <c r="D102" s="46"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72</v>
      </c>
      <c r="B105" s="7" t="s">
        <v>93</v>
      </c>
      <c r="C105" s="7"/>
      <c r="D105" s="46" t="s">
        <v>8</v>
      </c>
      <c r="E105" s="91" t="s">
        <v>120</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72</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92" t="s">
        <v>45</v>
      </c>
      <c r="E113" s="47" t="s">
        <v>133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92" t="s">
        <v>45</v>
      </c>
      <c r="E121" s="47" t="s">
        <v>122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104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108</v>
      </c>
      <c r="I37" s="26"/>
      <c r="J37" s="26"/>
      <c r="K37" s="26"/>
      <c r="L37" s="26"/>
      <c r="M37" s="26"/>
      <c r="N37" s="26"/>
      <c r="O37" s="26"/>
      <c r="P37" s="26"/>
    </row>
    <row r="38" ht="22.7" customHeight="1" spans="1:16" x14ac:dyDescent="0.25">
      <c r="A38" s="17"/>
      <c r="B38" s="7"/>
      <c r="C38" s="7"/>
      <c r="D38" s="27" t="s">
        <v>8</v>
      </c>
      <c r="E38" s="28" t="s">
        <v>25</v>
      </c>
      <c r="F38" s="29" t="s">
        <v>23</v>
      </c>
      <c r="G38" s="25">
        <v>20</v>
      </c>
      <c r="H38" s="26" t="s">
        <v>63</v>
      </c>
      <c r="I38" s="26"/>
      <c r="J38" s="26"/>
      <c r="K38" s="26"/>
      <c r="L38" s="26"/>
      <c r="M38" s="26"/>
      <c r="N38" s="26"/>
      <c r="O38" s="26"/>
      <c r="P38" s="26"/>
    </row>
    <row r="39" ht="22.7" customHeight="1" spans="1:16" x14ac:dyDescent="0.25">
      <c r="A39" s="17"/>
      <c r="B39" s="7"/>
      <c r="C39" s="7"/>
      <c r="D39" s="27" t="s">
        <v>8</v>
      </c>
      <c r="E39" s="28"/>
      <c r="F39" s="29" t="s">
        <v>23</v>
      </c>
      <c r="G39" s="25">
        <v>4</v>
      </c>
      <c r="H39" s="26" t="s">
        <v>63</v>
      </c>
      <c r="I39" s="26"/>
      <c r="J39" s="26"/>
      <c r="K39" s="26"/>
      <c r="L39" s="26"/>
      <c r="M39" s="26"/>
      <c r="N39" s="26"/>
      <c r="O39" s="26"/>
      <c r="P39" s="26"/>
    </row>
    <row r="40" ht="22.7" customHeight="1" spans="1:16" x14ac:dyDescent="0.25">
      <c r="A40" s="17"/>
      <c r="B40" s="7"/>
      <c r="C40" s="7"/>
      <c r="D40" s="27" t="s">
        <v>8</v>
      </c>
      <c r="E40" s="30" t="s">
        <v>28</v>
      </c>
      <c r="F40" s="31" t="s">
        <v>23</v>
      </c>
      <c r="G40" s="25">
        <v>8</v>
      </c>
      <c r="H40" s="32" t="s">
        <v>136</v>
      </c>
      <c r="I40" s="32"/>
      <c r="J40" s="32"/>
      <c r="K40" s="32"/>
      <c r="L40" s="32"/>
      <c r="M40" s="32"/>
      <c r="N40" s="32"/>
      <c r="O40" s="32"/>
      <c r="P40" s="32"/>
    </row>
    <row r="41" ht="22.7" customHeight="1" spans="1:16" x14ac:dyDescent="0.25">
      <c r="A41" s="17"/>
      <c r="B41" s="7"/>
      <c r="C41" s="7"/>
      <c r="D41" s="27" t="s">
        <v>8</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7</v>
      </c>
      <c r="H43" s="26" t="s">
        <v>110</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111</v>
      </c>
      <c r="I46" s="26"/>
      <c r="J46" s="26"/>
      <c r="K46" s="26"/>
      <c r="L46" s="26"/>
      <c r="M46" s="26"/>
      <c r="N46" s="26"/>
      <c r="O46" s="26"/>
      <c r="P46" s="26"/>
    </row>
    <row r="47" ht="22.7" customHeight="1" spans="1:16" x14ac:dyDescent="0.25">
      <c r="A47" s="17"/>
      <c r="B47" s="7"/>
      <c r="C47" s="7"/>
      <c r="D47" s="27" t="s">
        <v>8</v>
      </c>
      <c r="E47" s="35" t="s">
        <v>43</v>
      </c>
      <c r="F47" s="24" t="s">
        <v>44</v>
      </c>
      <c r="G47" s="24">
        <v>2</v>
      </c>
      <c r="H47" s="26" t="s">
        <v>112</v>
      </c>
      <c r="I47" s="26"/>
      <c r="J47" s="26"/>
      <c r="K47" s="26"/>
      <c r="L47" s="26"/>
      <c r="M47" s="26"/>
      <c r="N47" s="26"/>
      <c r="O47" s="26"/>
      <c r="P47" s="26"/>
    </row>
    <row r="48" ht="22.7" customHeight="1" spans="1:16" x14ac:dyDescent="0.25">
      <c r="A48" s="17"/>
      <c r="B48" s="7"/>
      <c r="C48" s="7"/>
      <c r="D48" s="27" t="s">
        <v>8</v>
      </c>
      <c r="E48" s="35" t="s">
        <v>46</v>
      </c>
      <c r="F48" s="24" t="s">
        <v>47</v>
      </c>
      <c r="G48" s="24">
        <v>3</v>
      </c>
      <c r="H48" s="26" t="s">
        <v>137</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51</v>
      </c>
      <c r="I51" s="26"/>
      <c r="J51" s="26"/>
      <c r="K51" s="26"/>
      <c r="L51" s="26"/>
      <c r="M51" s="26"/>
      <c r="N51" s="26"/>
      <c r="O51" s="26"/>
      <c r="P51" s="26"/>
    </row>
    <row r="52" ht="22.7" customHeight="1" spans="1:16" x14ac:dyDescent="0.25">
      <c r="A52" s="17"/>
      <c r="B52" s="7"/>
      <c r="C52" s="7"/>
      <c r="D52" s="27" t="s">
        <v>8</v>
      </c>
      <c r="E52" s="23" t="s">
        <v>57</v>
      </c>
      <c r="F52" s="24" t="s">
        <v>58</v>
      </c>
      <c r="G52" s="24">
        <v>10</v>
      </c>
      <c r="H52" s="38" t="s">
        <v>39</v>
      </c>
      <c r="I52" s="38"/>
      <c r="J52" s="38"/>
      <c r="K52" s="38"/>
      <c r="L52" s="38"/>
      <c r="M52" s="38"/>
      <c r="N52" s="38"/>
      <c r="O52" s="38"/>
      <c r="P52" s="38"/>
    </row>
    <row r="53" ht="22.7" customHeight="1" spans="1:16" x14ac:dyDescent="0.25">
      <c r="A53" s="17"/>
      <c r="B53" s="7"/>
      <c r="C53" s="7"/>
      <c r="D53" s="27" t="s">
        <v>8</v>
      </c>
      <c r="E53" s="35" t="s">
        <v>59</v>
      </c>
      <c r="F53" s="24" t="s">
        <v>60</v>
      </c>
      <c r="G53" s="24">
        <v>2</v>
      </c>
      <c r="H53" s="26" t="s">
        <v>39</v>
      </c>
      <c r="I53" s="26"/>
      <c r="J53" s="26"/>
      <c r="K53" s="26"/>
      <c r="L53" s="26"/>
      <c r="M53" s="26"/>
      <c r="N53" s="26"/>
      <c r="O53" s="26"/>
      <c r="P53" s="26"/>
    </row>
    <row r="54" ht="22.7" customHeight="1" spans="1:16" x14ac:dyDescent="0.25">
      <c r="A54" s="17"/>
      <c r="B54" s="7"/>
      <c r="C54" s="7"/>
      <c r="D54" s="27" t="s">
        <v>8</v>
      </c>
      <c r="E54" s="39" t="s">
        <v>61</v>
      </c>
      <c r="F54" s="24" t="s">
        <v>62</v>
      </c>
      <c r="G54" s="24">
        <v>4</v>
      </c>
      <c r="H54" s="40" t="s">
        <v>63</v>
      </c>
      <c r="I54" s="40"/>
      <c r="J54" s="40"/>
      <c r="K54" s="40"/>
      <c r="L54" s="40"/>
      <c r="M54" s="40"/>
      <c r="N54" s="40"/>
      <c r="O54" s="40"/>
      <c r="P54" s="40"/>
    </row>
    <row r="55" ht="22.7" customHeight="1" spans="1:16" x14ac:dyDescent="0.25">
      <c r="A55" s="17"/>
      <c r="B55" s="7"/>
      <c r="C55" s="7"/>
      <c r="D55" s="27" t="s">
        <v>8</v>
      </c>
      <c r="E55" s="23" t="s">
        <v>61</v>
      </c>
      <c r="F55" s="24" t="s">
        <v>64</v>
      </c>
      <c r="G55" s="24">
        <v>18</v>
      </c>
      <c r="H55" s="40" t="s">
        <v>138</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66</v>
      </c>
      <c r="B57" s="13" t="s">
        <v>67</v>
      </c>
      <c r="C57" s="13"/>
      <c r="D57" s="43" t="s">
        <v>8</v>
      </c>
      <c r="E57" s="44" t="s">
        <v>139</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69</v>
      </c>
      <c r="B60" s="7" t="s">
        <v>70</v>
      </c>
      <c r="C60" s="7"/>
      <c r="D60" s="46" t="s">
        <v>8</v>
      </c>
      <c r="E60" s="47" t="s">
        <v>140</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72</v>
      </c>
      <c r="B63" s="7" t="s">
        <v>73</v>
      </c>
      <c r="C63" s="7"/>
      <c r="D63" s="46" t="s">
        <v>8</v>
      </c>
      <c r="E63" s="49" t="s">
        <v>74</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75</v>
      </c>
      <c r="B71" s="51" t="s">
        <v>76</v>
      </c>
      <c r="C71" s="51"/>
      <c r="D71" s="52"/>
      <c r="E71" s="53" t="s">
        <v>77</v>
      </c>
      <c r="F71" s="54" t="s">
        <v>78</v>
      </c>
      <c r="G71" s="55" t="s">
        <v>79</v>
      </c>
      <c r="H71" s="55"/>
      <c r="I71" s="55"/>
      <c r="J71" s="55"/>
      <c r="K71" s="55"/>
      <c r="L71" s="55"/>
      <c r="M71" s="55"/>
      <c r="N71" s="55"/>
      <c r="O71" s="55"/>
      <c r="P71" s="55"/>
    </row>
    <row r="72" ht="22.7" customHeight="1" spans="1:16" x14ac:dyDescent="0.25">
      <c r="A72" s="50"/>
      <c r="B72" s="51"/>
      <c r="C72" s="51"/>
      <c r="D72" s="56"/>
      <c r="E72" s="57"/>
      <c r="F72" s="58">
        <v>0.25</v>
      </c>
      <c r="G72" s="59"/>
      <c r="H72" s="59"/>
      <c r="I72" s="59"/>
      <c r="J72" s="59"/>
      <c r="K72" s="59"/>
      <c r="L72" s="59"/>
      <c r="M72" s="59"/>
      <c r="N72" s="59"/>
      <c r="O72" s="59"/>
      <c r="P72" s="59"/>
    </row>
    <row r="73" ht="27.95" customHeight="1" spans="1:16" x14ac:dyDescent="0.25">
      <c r="A73" s="50"/>
      <c r="B73" s="51"/>
      <c r="C73" s="51"/>
      <c r="D73" s="60"/>
      <c r="E73" s="61"/>
      <c r="F73" s="58">
        <v>0.68</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72</v>
      </c>
      <c r="B77" s="68" t="s">
        <v>80</v>
      </c>
      <c r="C77" s="68"/>
      <c r="D77" s="69"/>
      <c r="E77" s="70"/>
      <c r="F77" s="71" t="s">
        <v>81</v>
      </c>
      <c r="G77" s="72" t="s">
        <v>82</v>
      </c>
      <c r="H77" s="73" t="s">
        <v>79</v>
      </c>
      <c r="I77" s="73"/>
      <c r="J77" s="73"/>
      <c r="K77" s="73"/>
      <c r="L77" s="73"/>
      <c r="M77" s="73"/>
      <c r="N77" s="73"/>
      <c r="O77" s="73"/>
      <c r="P77" s="73"/>
    </row>
    <row r="78" ht="22.7" customHeight="1" spans="1:16" x14ac:dyDescent="0.25">
      <c r="A78" s="67"/>
      <c r="B78" s="68"/>
      <c r="C78" s="68"/>
      <c r="D78" s="69"/>
      <c r="E78" s="74" t="s">
        <v>83</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t="s">
        <v>142</v>
      </c>
      <c r="I80" s="82"/>
      <c r="J80" s="82"/>
      <c r="K80" s="82"/>
      <c r="L80" s="82"/>
      <c r="M80" s="82"/>
      <c r="N80" s="82"/>
      <c r="O80" s="82"/>
      <c r="P80" s="82"/>
    </row>
    <row r="81" ht="22.7" customHeight="1" spans="1:16" x14ac:dyDescent="0.25">
      <c r="A81" s="67"/>
      <c r="B81" s="68"/>
      <c r="C81" s="68"/>
      <c r="D81" s="69"/>
      <c r="E81" s="83"/>
      <c r="F81" s="78"/>
      <c r="G81" s="79"/>
      <c r="H81" s="82" t="s">
        <v>143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72</v>
      </c>
      <c r="B84" s="7" t="s">
        <v>88</v>
      </c>
      <c r="C84" s="7"/>
      <c r="D84" s="88" t="s">
        <v>89</v>
      </c>
      <c r="E84" s="89" t="s">
        <v>144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72</v>
      </c>
      <c r="B102" s="7" t="s">
        <v>91</v>
      </c>
      <c r="C102" s="7"/>
      <c r="D102" s="46"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72</v>
      </c>
      <c r="B105" s="7" t="s">
        <v>93</v>
      </c>
      <c r="C105" s="7"/>
      <c r="D105" s="46" t="s">
        <v>8</v>
      </c>
      <c r="E105" s="91" t="s">
        <v>120</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72</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92" t="s">
        <v>45</v>
      </c>
      <c r="E113" s="47" t="s">
        <v>145</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92" t="s">
        <v>45</v>
      </c>
      <c r="E121" s="47" t="s">
        <v>146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147</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111</v>
      </c>
      <c r="I37" s="26"/>
      <c r="J37" s="26"/>
      <c r="K37" s="26"/>
      <c r="L37" s="26"/>
      <c r="M37" s="26"/>
      <c r="N37" s="26"/>
      <c r="O37" s="26"/>
      <c r="P37" s="26"/>
    </row>
    <row r="38" ht="22.7" customHeight="1" spans="1:16" x14ac:dyDescent="0.25">
      <c r="A38" s="17"/>
      <c r="B38" s="7"/>
      <c r="C38" s="7"/>
      <c r="D38" s="27" t="s">
        <v>8</v>
      </c>
      <c r="E38" s="28" t="s">
        <v>25</v>
      </c>
      <c r="F38" s="29" t="s">
        <v>23</v>
      </c>
      <c r="G38" s="25">
        <v>20</v>
      </c>
      <c r="H38" s="26" t="s">
        <v>63</v>
      </c>
      <c r="I38" s="26"/>
      <c r="J38" s="26"/>
      <c r="K38" s="26"/>
      <c r="L38" s="26"/>
      <c r="M38" s="26"/>
      <c r="N38" s="26"/>
      <c r="O38" s="26"/>
      <c r="P38" s="26"/>
    </row>
    <row r="39" ht="22.7" customHeight="1" spans="1:16" x14ac:dyDescent="0.25">
      <c r="A39" s="17"/>
      <c r="B39" s="7"/>
      <c r="C39" s="7"/>
      <c r="D39" s="27" t="s">
        <v>8</v>
      </c>
      <c r="E39" s="28"/>
      <c r="F39" s="29" t="s">
        <v>23</v>
      </c>
      <c r="G39" s="25">
        <v>4</v>
      </c>
      <c r="H39" s="26" t="s">
        <v>150</v>
      </c>
      <c r="I39" s="26"/>
      <c r="J39" s="26"/>
      <c r="K39" s="26"/>
      <c r="L39" s="26"/>
      <c r="M39" s="26"/>
      <c r="N39" s="26"/>
      <c r="O39" s="26"/>
      <c r="P39" s="26"/>
    </row>
    <row r="40" ht="22.7" customHeight="1" spans="1:16" x14ac:dyDescent="0.25">
      <c r="A40" s="17"/>
      <c r="B40" s="7"/>
      <c r="C40" s="7"/>
      <c r="D40" s="27" t="s">
        <v>8</v>
      </c>
      <c r="E40" s="30" t="s">
        <v>28</v>
      </c>
      <c r="F40" s="31" t="s">
        <v>23</v>
      </c>
      <c r="G40" s="25">
        <v>8</v>
      </c>
      <c r="H40" s="32" t="s">
        <v>63</v>
      </c>
      <c r="I40" s="32"/>
      <c r="J40" s="32"/>
      <c r="K40" s="32"/>
      <c r="L40" s="32"/>
      <c r="M40" s="32"/>
      <c r="N40" s="32"/>
      <c r="O40" s="32"/>
      <c r="P40" s="32"/>
    </row>
    <row r="41" ht="22.7" customHeight="1" spans="1:16" x14ac:dyDescent="0.25">
      <c r="A41" s="17"/>
      <c r="B41" s="7"/>
      <c r="C41" s="7"/>
      <c r="D41" s="27" t="s">
        <v>8</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7</v>
      </c>
      <c r="H43" s="26" t="s">
        <v>110</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151</v>
      </c>
      <c r="I46" s="26"/>
      <c r="J46" s="26"/>
      <c r="K46" s="26"/>
      <c r="L46" s="26"/>
      <c r="M46" s="26"/>
      <c r="N46" s="26"/>
      <c r="O46" s="26"/>
      <c r="P46" s="26"/>
    </row>
    <row r="47" ht="22.7" customHeight="1" spans="1:16" x14ac:dyDescent="0.25">
      <c r="A47" s="17"/>
      <c r="B47" s="7"/>
      <c r="C47" s="7"/>
      <c r="D47" s="36" t="s">
        <v>45</v>
      </c>
      <c r="E47" s="35" t="s">
        <v>43</v>
      </c>
      <c r="F47" s="24" t="s">
        <v>44</v>
      </c>
      <c r="G47" s="24">
        <v>2</v>
      </c>
      <c r="H47" s="26" t="s">
        <v>152</v>
      </c>
      <c r="I47" s="26"/>
      <c r="J47" s="26"/>
      <c r="K47" s="26"/>
      <c r="L47" s="26"/>
      <c r="M47" s="26"/>
      <c r="N47" s="26"/>
      <c r="O47" s="26"/>
      <c r="P47" s="26"/>
    </row>
    <row r="48" ht="22.7" customHeight="1" spans="1:16" x14ac:dyDescent="0.25">
      <c r="A48" s="17"/>
      <c r="B48" s="7"/>
      <c r="C48" s="7"/>
      <c r="D48" s="36" t="s">
        <v>45</v>
      </c>
      <c r="E48" s="35" t="s">
        <v>46</v>
      </c>
      <c r="F48" s="24" t="s">
        <v>47</v>
      </c>
      <c r="G48" s="24">
        <v>3</v>
      </c>
      <c r="H48" s="26" t="s">
        <v>153</v>
      </c>
      <c r="I48" s="26"/>
      <c r="J48" s="26"/>
      <c r="K48" s="26"/>
      <c r="L48" s="26"/>
      <c r="M48" s="26"/>
      <c r="N48" s="26"/>
      <c r="O48" s="26"/>
      <c r="P48" s="26"/>
    </row>
    <row r="49" ht="22.7" customHeight="1" spans="1:16" x14ac:dyDescent="0.25">
      <c r="A49" s="17"/>
      <c r="B49" s="7"/>
      <c r="C49" s="7"/>
      <c r="D49" s="27" t="s">
        <v>8</v>
      </c>
      <c r="E49" s="35" t="s">
        <v>49</v>
      </c>
      <c r="F49" s="37" t="s">
        <v>50</v>
      </c>
      <c r="G49" s="24">
        <v>2</v>
      </c>
      <c r="H49" s="26" t="s">
        <v>51</v>
      </c>
      <c r="I49" s="26"/>
      <c r="J49" s="26"/>
      <c r="K49" s="26"/>
      <c r="L49" s="26"/>
      <c r="M49" s="26"/>
      <c r="N49" s="26"/>
      <c r="O49" s="26"/>
      <c r="P49" s="26"/>
    </row>
    <row r="50" ht="22.7" customHeight="1" spans="1:16" x14ac:dyDescent="0.25">
      <c r="A50" s="17"/>
      <c r="B50" s="7"/>
      <c r="C50" s="7"/>
      <c r="D50" s="27" t="s">
        <v>8</v>
      </c>
      <c r="E50" s="35" t="s">
        <v>52</v>
      </c>
      <c r="F50" s="24" t="s">
        <v>53</v>
      </c>
      <c r="G50" s="24">
        <v>5</v>
      </c>
      <c r="H50" s="26" t="s">
        <v>54</v>
      </c>
      <c r="I50" s="26"/>
      <c r="J50" s="26"/>
      <c r="K50" s="26"/>
      <c r="L50" s="26"/>
      <c r="M50" s="26"/>
      <c r="N50" s="26"/>
      <c r="O50" s="26"/>
      <c r="P50" s="26"/>
    </row>
    <row r="51" ht="22.7" customHeight="1" spans="1:16" x14ac:dyDescent="0.25">
      <c r="A51" s="17"/>
      <c r="B51" s="7"/>
      <c r="C51" s="7"/>
      <c r="D51" s="27" t="s">
        <v>8</v>
      </c>
      <c r="E51" s="35" t="s">
        <v>55</v>
      </c>
      <c r="F51" s="24" t="s">
        <v>56</v>
      </c>
      <c r="G51" s="24">
        <v>2</v>
      </c>
      <c r="H51" s="26" t="s">
        <v>51</v>
      </c>
      <c r="I51" s="26"/>
      <c r="J51" s="26"/>
      <c r="K51" s="26"/>
      <c r="L51" s="26"/>
      <c r="M51" s="26"/>
      <c r="N51" s="26"/>
      <c r="O51" s="26"/>
      <c r="P51" s="26"/>
    </row>
    <row r="52" ht="22.7" customHeight="1" spans="1:16" x14ac:dyDescent="0.25">
      <c r="A52" s="17"/>
      <c r="B52" s="7"/>
      <c r="C52" s="7"/>
      <c r="D52" s="27" t="s">
        <v>8</v>
      </c>
      <c r="E52" s="23" t="s">
        <v>57</v>
      </c>
      <c r="F52" s="24" t="s">
        <v>58</v>
      </c>
      <c r="G52" s="24">
        <v>10</v>
      </c>
      <c r="H52" s="38" t="s">
        <v>39</v>
      </c>
      <c r="I52" s="38"/>
      <c r="J52" s="38"/>
      <c r="K52" s="38"/>
      <c r="L52" s="38"/>
      <c r="M52" s="38"/>
      <c r="N52" s="38"/>
      <c r="O52" s="38"/>
      <c r="P52" s="38"/>
    </row>
    <row r="53" ht="22.7" customHeight="1" spans="1:16" x14ac:dyDescent="0.25">
      <c r="A53" s="17"/>
      <c r="B53" s="7"/>
      <c r="C53" s="7"/>
      <c r="D53" s="27" t="s">
        <v>8</v>
      </c>
      <c r="E53" s="35" t="s">
        <v>59</v>
      </c>
      <c r="F53" s="24" t="s">
        <v>60</v>
      </c>
      <c r="G53" s="24">
        <v>2</v>
      </c>
      <c r="H53" s="26" t="s">
        <v>39</v>
      </c>
      <c r="I53" s="26"/>
      <c r="J53" s="26"/>
      <c r="K53" s="26"/>
      <c r="L53" s="26"/>
      <c r="M53" s="26"/>
      <c r="N53" s="26"/>
      <c r="O53" s="26"/>
      <c r="P53" s="26"/>
    </row>
    <row r="54" ht="22.7" customHeight="1" spans="1:16" x14ac:dyDescent="0.25">
      <c r="A54" s="17"/>
      <c r="B54" s="7"/>
      <c r="C54" s="7"/>
      <c r="D54" s="27" t="s">
        <v>8</v>
      </c>
      <c r="E54" s="39" t="s">
        <v>61</v>
      </c>
      <c r="F54" s="24" t="s">
        <v>62</v>
      </c>
      <c r="G54" s="24">
        <v>4</v>
      </c>
      <c r="H54" s="40" t="s">
        <v>51</v>
      </c>
      <c r="I54" s="40"/>
      <c r="J54" s="40"/>
      <c r="K54" s="40"/>
      <c r="L54" s="40"/>
      <c r="M54" s="40"/>
      <c r="N54" s="40"/>
      <c r="O54" s="40"/>
      <c r="P54" s="40"/>
    </row>
    <row r="55" ht="22.7" customHeight="1" spans="1:16" x14ac:dyDescent="0.25">
      <c r="A55" s="17"/>
      <c r="B55" s="7"/>
      <c r="C55" s="7"/>
      <c r="D55" s="27" t="s">
        <v>8</v>
      </c>
      <c r="E55" s="23" t="s">
        <v>61</v>
      </c>
      <c r="F55" s="24" t="s">
        <v>64</v>
      </c>
      <c r="G55" s="24">
        <v>18</v>
      </c>
      <c r="H55" s="40" t="s">
        <v>111</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66</v>
      </c>
      <c r="B57" s="13" t="s">
        <v>67</v>
      </c>
      <c r="C57" s="13"/>
      <c r="D57" s="43" t="s">
        <v>8</v>
      </c>
      <c r="E57" s="44" t="s">
        <v>139</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69</v>
      </c>
      <c r="B60" s="7" t="s">
        <v>70</v>
      </c>
      <c r="C60" s="7"/>
      <c r="D60" s="46" t="s">
        <v>8</v>
      </c>
      <c r="E60" s="47" t="s">
        <v>140</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72</v>
      </c>
      <c r="B63" s="7" t="s">
        <v>73</v>
      </c>
      <c r="C63" s="7"/>
      <c r="D63" s="46" t="s">
        <v>8</v>
      </c>
      <c r="E63" s="49" t="s">
        <v>74</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75</v>
      </c>
      <c r="B71" s="51" t="s">
        <v>76</v>
      </c>
      <c r="C71" s="51"/>
      <c r="D71" s="52"/>
      <c r="E71" s="53" t="s">
        <v>77</v>
      </c>
      <c r="F71" s="54" t="s">
        <v>78</v>
      </c>
      <c r="G71" s="55" t="s">
        <v>79</v>
      </c>
      <c r="H71" s="55"/>
      <c r="I71" s="55"/>
      <c r="J71" s="55"/>
      <c r="K71" s="55"/>
      <c r="L71" s="55"/>
      <c r="M71" s="55"/>
      <c r="N71" s="55"/>
      <c r="O71" s="55"/>
      <c r="P71" s="55"/>
    </row>
    <row r="72" ht="22.7" customHeight="1" spans="1:16" x14ac:dyDescent="0.25">
      <c r="A72" s="50"/>
      <c r="B72" s="51"/>
      <c r="C72" s="51"/>
      <c r="D72" s="56"/>
      <c r="E72" s="57"/>
      <c r="F72" s="58">
        <v>0.74</v>
      </c>
      <c r="G72" s="59"/>
      <c r="H72" s="59"/>
      <c r="I72" s="59"/>
      <c r="J72" s="59"/>
      <c r="K72" s="59"/>
      <c r="L72" s="59"/>
      <c r="M72" s="59"/>
      <c r="N72" s="59"/>
      <c r="O72" s="59"/>
      <c r="P72" s="59"/>
    </row>
    <row r="73" ht="27.95" customHeight="1" spans="1:16" x14ac:dyDescent="0.25">
      <c r="A73" s="50"/>
      <c r="B73" s="51"/>
      <c r="C73" s="51"/>
      <c r="D73" s="60"/>
      <c r="E73" s="61"/>
      <c r="F73" s="58">
        <v>0.72</v>
      </c>
      <c r="G73" s="62"/>
      <c r="H73" s="62"/>
      <c r="I73" s="62"/>
      <c r="J73" s="62"/>
      <c r="K73" s="62"/>
      <c r="L73" s="62"/>
      <c r="M73" s="62"/>
      <c r="N73" s="62"/>
      <c r="O73" s="62"/>
      <c r="P73" s="62"/>
    </row>
    <row r="74" ht="27.6" customHeight="1" spans="1:16" x14ac:dyDescent="0.25">
      <c r="A74" s="50"/>
      <c r="B74" s="51"/>
      <c r="C74" s="51"/>
      <c r="D74" s="63"/>
      <c r="E74" s="61"/>
      <c r="F74" s="58">
        <v>0.68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72</v>
      </c>
      <c r="B77" s="68" t="s">
        <v>80</v>
      </c>
      <c r="C77" s="68"/>
      <c r="D77" s="69"/>
      <c r="E77" s="70"/>
      <c r="F77" s="71" t="s">
        <v>81</v>
      </c>
      <c r="G77" s="72" t="s">
        <v>82</v>
      </c>
      <c r="H77" s="73" t="s">
        <v>79</v>
      </c>
      <c r="I77" s="73"/>
      <c r="J77" s="73"/>
      <c r="K77" s="73"/>
      <c r="L77" s="73"/>
      <c r="M77" s="73"/>
      <c r="N77" s="73"/>
      <c r="O77" s="73"/>
      <c r="P77" s="73"/>
    </row>
    <row r="78" ht="22.7" customHeight="1" spans="1:16" x14ac:dyDescent="0.25">
      <c r="A78" s="67"/>
      <c r="B78" s="68"/>
      <c r="C78" s="68"/>
      <c r="D78" s="69"/>
      <c r="E78" s="74" t="s">
        <v>83</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154</v>
      </c>
      <c r="I79" s="80"/>
      <c r="J79" s="80"/>
      <c r="K79" s="80"/>
      <c r="L79" s="80"/>
      <c r="M79" s="80"/>
      <c r="N79" s="80"/>
      <c r="O79" s="80"/>
      <c r="P79" s="80"/>
    </row>
    <row r="80" ht="22.7" customHeight="1" spans="1:16" x14ac:dyDescent="0.25">
      <c r="A80" s="67"/>
      <c r="B80" s="68"/>
      <c r="C80" s="68"/>
      <c r="D80" s="69"/>
      <c r="E80" s="81"/>
      <c r="F80" s="61"/>
      <c r="G80" s="79"/>
      <c r="H80" s="82" t="s">
        <v>155</v>
      </c>
      <c r="I80" s="82"/>
      <c r="J80" s="82"/>
      <c r="K80" s="82"/>
      <c r="L80" s="82"/>
      <c r="M80" s="82"/>
      <c r="N80" s="82"/>
      <c r="O80" s="82"/>
      <c r="P80" s="82"/>
    </row>
    <row r="81" ht="22.7" customHeight="1" spans="1:16" x14ac:dyDescent="0.25">
      <c r="A81" s="67"/>
      <c r="B81" s="68"/>
      <c r="C81" s="68"/>
      <c r="D81" s="69"/>
      <c r="E81" s="83"/>
      <c r="F81" s="78"/>
      <c r="G81" s="79"/>
      <c r="H81" s="82" t="s">
        <v>156</v>
      </c>
      <c r="I81" s="82"/>
      <c r="J81" s="82"/>
      <c r="K81" s="82"/>
      <c r="L81" s="82"/>
      <c r="M81" s="82"/>
      <c r="N81" s="82"/>
      <c r="O81" s="82"/>
      <c r="P81" s="82"/>
    </row>
    <row r="82" ht="22.7" customHeight="1" spans="1:16" x14ac:dyDescent="0.25">
      <c r="A82" s="67"/>
      <c r="B82" s="68"/>
      <c r="C82" s="68"/>
      <c r="D82" s="69"/>
      <c r="E82" s="77"/>
      <c r="F82" s="84"/>
      <c r="G82" s="79"/>
      <c r="H82" s="82" t="s">
        <v>157</v>
      </c>
      <c r="I82" s="82"/>
      <c r="J82" s="82"/>
      <c r="K82" s="82"/>
      <c r="L82" s="82"/>
      <c r="M82" s="82"/>
      <c r="N82" s="82"/>
      <c r="O82" s="82"/>
      <c r="P82" s="82"/>
    </row>
    <row r="83" ht="22.7" customHeight="1" spans="1:16" x14ac:dyDescent="0.25">
      <c r="A83" s="67"/>
      <c r="B83" s="68"/>
      <c r="C83" s="68"/>
      <c r="D83" s="69"/>
      <c r="E83" s="85"/>
      <c r="F83" s="86"/>
      <c r="G83" s="79"/>
      <c r="H83" s="87" t="s">
        <v>158</v>
      </c>
      <c r="I83" s="87"/>
      <c r="J83" s="87"/>
      <c r="K83" s="87"/>
      <c r="L83" s="87"/>
      <c r="M83" s="87"/>
      <c r="N83" s="87"/>
      <c r="O83" s="87"/>
      <c r="P83" s="87"/>
    </row>
    <row r="84" ht="22.7" customHeight="1" spans="1:16" x14ac:dyDescent="0.25">
      <c r="A84" s="8" t="s">
        <v>72</v>
      </c>
      <c r="B84" s="7" t="s">
        <v>88</v>
      </c>
      <c r="C84" s="7"/>
      <c r="D84" s="88" t="s">
        <v>89</v>
      </c>
      <c r="E84" s="89" t="s">
        <v>159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72</v>
      </c>
      <c r="B102" s="7" t="s">
        <v>91</v>
      </c>
      <c r="C102" s="7"/>
      <c r="D102" s="46" t="s">
        <v>8</v>
      </c>
      <c r="E102" s="47" t="s">
        <v>92</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72</v>
      </c>
      <c r="B105" s="7" t="s">
        <v>93</v>
      </c>
      <c r="C105" s="7"/>
      <c r="D105" s="46" t="s">
        <v>8</v>
      </c>
      <c r="E105" s="91" t="s">
        <v>120</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72</v>
      </c>
      <c r="B108" s="7" t="s">
        <v>95</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96</v>
      </c>
      <c r="B113" s="7" t="s">
        <v>97</v>
      </c>
      <c r="C113" s="7"/>
      <c r="D113" s="92" t="s">
        <v>45</v>
      </c>
      <c r="E113" s="47" t="s">
        <v>160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99</v>
      </c>
      <c r="B121" s="7" t="s">
        <v>100</v>
      </c>
      <c r="C121" s="7"/>
      <c r="D121" s="92" t="s">
        <v>45</v>
      </c>
      <c r="E121" s="47" t="s">
        <v>161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102</v>
      </c>
      <c r="B125" s="7" t="s">
        <v>103</v>
      </c>
      <c r="C125" s="7"/>
      <c r="D125" s="48"/>
      <c r="E125" s="47" t="s">
        <v>162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8.24.26</vt:lpstr>
      <vt:lpstr>Tuesday 8.25.26</vt:lpstr>
      <vt:lpstr>Wednesday 8.26.26</vt:lpstr>
      <vt:lpstr>Thursday 8.27.26</vt:lpstr>
      <vt:lpstr>Friday 8.28.26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